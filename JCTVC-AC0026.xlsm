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exismt/Documents/MPEG/120MPEG/"/>
    </mc:Choice>
  </mc:AlternateContent>
  <bookViews>
    <workbookView xWindow="-34060" yWindow="1900" windowWidth="39500" windowHeight="21040" tabRatio="884"/>
  </bookViews>
  <sheets>
    <sheet name="Example" sheetId="20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91" i="20" l="1"/>
  <c r="U91" i="20"/>
  <c r="T91" i="20"/>
  <c r="P91" i="20"/>
  <c r="O91" i="20"/>
  <c r="N91" i="20"/>
  <c r="Y89" i="20"/>
  <c r="X89" i="20"/>
  <c r="W89" i="20"/>
  <c r="V89" i="20"/>
  <c r="U89" i="20"/>
  <c r="T89" i="20"/>
  <c r="S89" i="20"/>
  <c r="R89" i="20"/>
  <c r="Q89" i="20"/>
  <c r="P89" i="20"/>
  <c r="O89" i="20"/>
  <c r="N89" i="20"/>
  <c r="O88" i="20"/>
  <c r="V87" i="20"/>
  <c r="U87" i="20"/>
  <c r="T87" i="20"/>
  <c r="P87" i="20"/>
  <c r="O87" i="20"/>
  <c r="N87" i="20"/>
  <c r="Y85" i="20"/>
  <c r="X85" i="20"/>
  <c r="W85" i="20"/>
  <c r="V85" i="20"/>
  <c r="U85" i="20"/>
  <c r="T85" i="20"/>
  <c r="S85" i="20"/>
  <c r="R85" i="20"/>
  <c r="Q85" i="20"/>
  <c r="P85" i="20"/>
  <c r="O85" i="20"/>
  <c r="N85" i="20"/>
  <c r="V82" i="20"/>
  <c r="U82" i="20"/>
  <c r="T82" i="20"/>
  <c r="P82" i="20"/>
  <c r="O82" i="20"/>
  <c r="N82" i="20"/>
  <c r="Y80" i="20"/>
  <c r="X80" i="20"/>
  <c r="W80" i="20"/>
  <c r="V80" i="20"/>
  <c r="U80" i="20"/>
  <c r="T80" i="20"/>
  <c r="S80" i="20"/>
  <c r="R80" i="20"/>
  <c r="Q80" i="20"/>
  <c r="P80" i="20"/>
  <c r="O80" i="20"/>
  <c r="N80" i="20"/>
  <c r="O79" i="20"/>
  <c r="V78" i="20"/>
  <c r="U78" i="20"/>
  <c r="T78" i="20"/>
  <c r="P78" i="20"/>
  <c r="O78" i="20"/>
  <c r="N78" i="20"/>
  <c r="Y76" i="20"/>
  <c r="X76" i="20"/>
  <c r="W76" i="20"/>
  <c r="V76" i="20"/>
  <c r="U76" i="20"/>
  <c r="T76" i="20"/>
  <c r="S76" i="20"/>
  <c r="R76" i="20"/>
  <c r="Q76" i="20"/>
  <c r="P76" i="20"/>
  <c r="O76" i="20"/>
  <c r="N76" i="20"/>
  <c r="V73" i="20"/>
  <c r="U73" i="20"/>
  <c r="T73" i="20"/>
  <c r="P73" i="20"/>
  <c r="O73" i="20"/>
  <c r="N73" i="20"/>
  <c r="Y71" i="20"/>
  <c r="X71" i="20"/>
  <c r="W71" i="20"/>
  <c r="V71" i="20"/>
  <c r="U71" i="20"/>
  <c r="T71" i="20"/>
  <c r="S71" i="20"/>
  <c r="R71" i="20"/>
  <c r="Q71" i="20"/>
  <c r="P71" i="20"/>
  <c r="O71" i="20"/>
  <c r="N71" i="20"/>
  <c r="O70" i="20"/>
  <c r="V69" i="20"/>
  <c r="U69" i="20"/>
  <c r="T69" i="20"/>
  <c r="P69" i="20"/>
  <c r="O69" i="20"/>
  <c r="N69" i="20"/>
  <c r="Y67" i="20"/>
  <c r="X67" i="20"/>
  <c r="W67" i="20"/>
  <c r="V67" i="20"/>
  <c r="U67" i="20"/>
  <c r="T67" i="20"/>
  <c r="S67" i="20"/>
  <c r="R67" i="20"/>
  <c r="Q67" i="20"/>
  <c r="P67" i="20"/>
  <c r="O67" i="20"/>
  <c r="N67" i="20"/>
  <c r="V63" i="20"/>
  <c r="U63" i="20"/>
  <c r="T63" i="20"/>
  <c r="P63" i="20"/>
  <c r="O63" i="20"/>
  <c r="N63" i="20"/>
  <c r="Y61" i="20"/>
  <c r="X61" i="20"/>
  <c r="W61" i="20"/>
  <c r="V61" i="20"/>
  <c r="U61" i="20"/>
  <c r="T61" i="20"/>
  <c r="S61" i="20"/>
  <c r="R61" i="20"/>
  <c r="Q61" i="20"/>
  <c r="P61" i="20"/>
  <c r="O61" i="20"/>
  <c r="N61" i="20"/>
  <c r="O60" i="20"/>
  <c r="V59" i="20"/>
  <c r="U59" i="20"/>
  <c r="T59" i="20"/>
  <c r="P59" i="20"/>
  <c r="O59" i="20"/>
  <c r="N59" i="20"/>
  <c r="Y57" i="20"/>
  <c r="X57" i="20"/>
  <c r="W57" i="20"/>
  <c r="V57" i="20"/>
  <c r="U57" i="20"/>
  <c r="T57" i="20"/>
  <c r="S57" i="20"/>
  <c r="R57" i="20"/>
  <c r="Q57" i="20"/>
  <c r="P57" i="20"/>
  <c r="O57" i="20"/>
  <c r="N57" i="20"/>
  <c r="V53" i="20"/>
  <c r="U53" i="20"/>
  <c r="T53" i="20"/>
  <c r="P53" i="20"/>
  <c r="O53" i="20"/>
  <c r="N53" i="20"/>
  <c r="Y51" i="20"/>
  <c r="X51" i="20"/>
  <c r="W51" i="20"/>
  <c r="V51" i="20"/>
  <c r="U51" i="20"/>
  <c r="T51" i="20"/>
  <c r="S51" i="20"/>
  <c r="R51" i="20"/>
  <c r="Q51" i="20"/>
  <c r="P51" i="20"/>
  <c r="O51" i="20"/>
  <c r="N51" i="20"/>
  <c r="O50" i="20"/>
  <c r="V49" i="20"/>
  <c r="U49" i="20"/>
  <c r="T49" i="20"/>
  <c r="P49" i="20"/>
  <c r="O49" i="20"/>
  <c r="N49" i="20"/>
  <c r="Y47" i="20"/>
  <c r="X47" i="20"/>
  <c r="W47" i="20"/>
  <c r="V47" i="20"/>
  <c r="U47" i="20"/>
  <c r="T47" i="20"/>
  <c r="S47" i="20"/>
  <c r="R47" i="20"/>
  <c r="Q47" i="20"/>
  <c r="P47" i="20"/>
  <c r="O47" i="20"/>
  <c r="N47" i="20"/>
  <c r="V43" i="20"/>
  <c r="U43" i="20"/>
  <c r="T43" i="20"/>
  <c r="P43" i="20"/>
  <c r="O43" i="20"/>
  <c r="N43" i="20"/>
  <c r="Y41" i="20"/>
  <c r="X41" i="20"/>
  <c r="W41" i="20"/>
  <c r="V41" i="20"/>
  <c r="U41" i="20"/>
  <c r="T41" i="20"/>
  <c r="S41" i="20"/>
  <c r="R41" i="20"/>
  <c r="Q41" i="20"/>
  <c r="P41" i="20"/>
  <c r="O41" i="20"/>
  <c r="N41" i="20"/>
  <c r="O40" i="20"/>
  <c r="V39" i="20"/>
  <c r="U39" i="20"/>
  <c r="T39" i="20"/>
  <c r="P39" i="20"/>
  <c r="O39" i="20"/>
  <c r="N39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V30" i="20"/>
  <c r="U30" i="20"/>
  <c r="T30" i="20"/>
  <c r="P30" i="20"/>
  <c r="O30" i="20"/>
  <c r="N30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V28" i="20"/>
  <c r="U28" i="20"/>
  <c r="T28" i="20"/>
  <c r="P28" i="20"/>
  <c r="O28" i="20"/>
  <c r="N28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V26" i="20"/>
  <c r="U26" i="20"/>
  <c r="T26" i="20"/>
  <c r="P26" i="20"/>
  <c r="O26" i="20"/>
  <c r="N26" i="20"/>
  <c r="Y25" i="20"/>
  <c r="X25" i="20"/>
  <c r="W25" i="20"/>
  <c r="V25" i="20"/>
  <c r="U25" i="20"/>
  <c r="T25" i="20"/>
  <c r="S25" i="20"/>
  <c r="R25" i="20"/>
  <c r="Q25" i="20"/>
  <c r="P25" i="20"/>
  <c r="O25" i="20"/>
  <c r="N25" i="20"/>
  <c r="V24" i="20"/>
  <c r="U24" i="20"/>
  <c r="T24" i="20"/>
  <c r="P24" i="20"/>
  <c r="O24" i="20"/>
  <c r="N24" i="20"/>
  <c r="Y23" i="20"/>
  <c r="X23" i="20"/>
  <c r="W23" i="20"/>
  <c r="V23" i="20"/>
  <c r="U23" i="20"/>
  <c r="T23" i="20"/>
  <c r="S23" i="20"/>
  <c r="R23" i="20"/>
  <c r="Q23" i="20"/>
  <c r="P23" i="20"/>
  <c r="O23" i="20"/>
  <c r="N23" i="20"/>
  <c r="V22" i="20"/>
  <c r="U22" i="20"/>
  <c r="T22" i="20"/>
  <c r="P22" i="20"/>
  <c r="O22" i="20"/>
  <c r="N22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V20" i="20"/>
  <c r="U20" i="20"/>
  <c r="T20" i="20"/>
  <c r="P20" i="20"/>
  <c r="O20" i="20"/>
  <c r="N20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V18" i="20"/>
  <c r="U18" i="20"/>
  <c r="T18" i="20"/>
  <c r="P18" i="20"/>
  <c r="O18" i="20"/>
  <c r="N18" i="20"/>
  <c r="Y17" i="20"/>
  <c r="X17" i="20"/>
  <c r="W17" i="20"/>
  <c r="V17" i="20"/>
  <c r="U17" i="20"/>
  <c r="T17" i="20"/>
  <c r="S17" i="20"/>
  <c r="R17" i="20"/>
  <c r="Q17" i="20"/>
  <c r="P17" i="20"/>
  <c r="O17" i="20"/>
  <c r="N17" i="20"/>
  <c r="V16" i="20"/>
  <c r="U16" i="20"/>
  <c r="T16" i="20"/>
  <c r="P16" i="20"/>
  <c r="O16" i="20"/>
  <c r="N16" i="20"/>
  <c r="Y15" i="20"/>
  <c r="X15" i="20"/>
  <c r="W15" i="20"/>
  <c r="V15" i="20"/>
  <c r="U15" i="20"/>
  <c r="T15" i="20"/>
  <c r="S15" i="20"/>
  <c r="R15" i="20"/>
  <c r="Q15" i="20"/>
  <c r="P15" i="20"/>
  <c r="O15" i="20"/>
  <c r="N15" i="20"/>
  <c r="V14" i="20"/>
  <c r="U14" i="20"/>
  <c r="T14" i="20"/>
  <c r="P14" i="20"/>
  <c r="O14" i="20"/>
  <c r="N14" i="20"/>
  <c r="Y13" i="20"/>
  <c r="X13" i="20"/>
  <c r="W13" i="20"/>
  <c r="V13" i="20"/>
  <c r="U13" i="20"/>
  <c r="T13" i="20"/>
  <c r="S13" i="20"/>
  <c r="R13" i="20"/>
  <c r="Q13" i="20"/>
  <c r="P13" i="20"/>
  <c r="O13" i="20"/>
  <c r="N13" i="20"/>
  <c r="V12" i="20"/>
  <c r="U12" i="20"/>
  <c r="T12" i="20"/>
  <c r="P12" i="20"/>
  <c r="O12" i="20"/>
  <c r="N12" i="20"/>
  <c r="Y11" i="20"/>
  <c r="X11" i="20"/>
  <c r="W11" i="20"/>
  <c r="V11" i="20"/>
  <c r="U11" i="20"/>
  <c r="T11" i="20"/>
  <c r="S11" i="20"/>
  <c r="R11" i="20"/>
  <c r="Q11" i="20"/>
  <c r="P11" i="20"/>
  <c r="O11" i="20"/>
  <c r="N11" i="20"/>
  <c r="V10" i="20"/>
  <c r="U10" i="20"/>
  <c r="T10" i="20"/>
  <c r="P10" i="20"/>
  <c r="O10" i="20"/>
  <c r="N10" i="20"/>
  <c r="Y9" i="20"/>
  <c r="X9" i="20"/>
  <c r="W9" i="20"/>
  <c r="V9" i="20"/>
  <c r="U9" i="20"/>
  <c r="T9" i="20"/>
  <c r="S9" i="20"/>
  <c r="R9" i="20"/>
  <c r="Q9" i="20"/>
  <c r="P9" i="20"/>
  <c r="O9" i="20"/>
  <c r="N9" i="20"/>
  <c r="V8" i="20"/>
  <c r="U8" i="20"/>
  <c r="T8" i="20"/>
  <c r="P8" i="20"/>
  <c r="O8" i="20"/>
  <c r="N8" i="20"/>
  <c r="Y7" i="20"/>
  <c r="X7" i="20"/>
  <c r="W7" i="20"/>
  <c r="V7" i="20"/>
  <c r="U7" i="20"/>
  <c r="T7" i="20"/>
  <c r="S7" i="20"/>
  <c r="R7" i="20"/>
  <c r="Q7" i="20"/>
  <c r="P7" i="20"/>
  <c r="O7" i="20"/>
  <c r="N7" i="20"/>
  <c r="V6" i="20"/>
  <c r="U6" i="20"/>
  <c r="T6" i="20"/>
  <c r="P6" i="20"/>
  <c r="O6" i="20"/>
  <c r="N6" i="20"/>
  <c r="Y5" i="20"/>
  <c r="X5" i="20"/>
  <c r="W5" i="20"/>
  <c r="V5" i="20"/>
  <c r="U5" i="20"/>
  <c r="T5" i="20"/>
  <c r="S5" i="20"/>
  <c r="R5" i="20"/>
  <c r="Q5" i="20"/>
  <c r="P5" i="20"/>
  <c r="O5" i="20"/>
  <c r="N5" i="20"/>
  <c r="V4" i="20"/>
  <c r="U4" i="20"/>
  <c r="T4" i="20"/>
  <c r="P4" i="20"/>
  <c r="O4" i="20"/>
  <c r="N4" i="20"/>
  <c r="Y3" i="20"/>
  <c r="X3" i="20"/>
  <c r="W3" i="20"/>
  <c r="V3" i="20"/>
  <c r="U3" i="20"/>
  <c r="T3" i="20"/>
  <c r="S3" i="20"/>
  <c r="R3" i="20"/>
  <c r="Q3" i="20"/>
  <c r="P3" i="20"/>
  <c r="O3" i="20"/>
  <c r="N3" i="20"/>
</calcChain>
</file>

<file path=xl/sharedStrings.xml><?xml version="1.0" encoding="utf-8"?>
<sst xmlns="http://schemas.openxmlformats.org/spreadsheetml/2006/main" count="98" uniqueCount="33">
  <si>
    <t>QPISlice</t>
  </si>
  <si>
    <t>Reference</t>
  </si>
  <si>
    <t>Tested</t>
  </si>
  <si>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</si>
  <si>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</si>
  <si>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</si>
  <si>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</si>
  <si>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</si>
  <si>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</si>
  <si>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</si>
  <si>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</si>
  <si>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BD-rate (cubic)</t>
  </si>
  <si>
    <t>BD-PSNR  (piecewise cubic)</t>
  </si>
  <si>
    <t>BD-PSNR  (cubic)</t>
  </si>
  <si>
    <t>foreman_qcif</t>
  </si>
  <si>
    <t>container_qcif</t>
  </si>
  <si>
    <t>news_qcif</t>
  </si>
  <si>
    <t>paris_cif</t>
  </si>
  <si>
    <t>silent_qcif</t>
  </si>
  <si>
    <t>mobile_cif</t>
  </si>
  <si>
    <t>tempete_cif</t>
  </si>
  <si>
    <t>bps</t>
  </si>
  <si>
    <t>Original</t>
  </si>
  <si>
    <t>Extended</t>
  </si>
  <si>
    <t>Extended with Extrapolation</t>
  </si>
  <si>
    <t>Coverage</t>
  </si>
  <si>
    <t>Extended 7 points</t>
  </si>
  <si>
    <t>Dynamic extrapolation</t>
  </si>
  <si>
    <t>Extended with Gaps</t>
  </si>
  <si>
    <t>Extended with duplicates and unsorted</t>
  </si>
  <si>
    <t>Extended with duplicates and gaos</t>
  </si>
  <si>
    <t>Inverse order</t>
  </si>
  <si>
    <t>Multiple gaps &amp; different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</si>
</sst>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_ "/>
    <numFmt numFmtId="165" formatCode="0.000"/>
  </numFmts>
  <fonts count="7" x14ac:knownFonts="1">
    <font>
      <sz val="12"/>
      <color theme="1"/>
      <name val="Calibri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64" fontId="1" fillId="2" borderId="3" xfId="0" applyNumberFormat="1" applyFont="1" applyFill="1" applyBorder="1"/>
    <xf numFmtId="164" fontId="1" fillId="2" borderId="4" xfId="0" applyNumberFormat="1" applyFont="1" applyFill="1" applyBorder="1"/>
    <xf numFmtId="164" fontId="1" fillId="2" borderId="5" xfId="0" applyNumberFormat="1" applyFont="1" applyFill="1" applyBorder="1"/>
    <xf numFmtId="0" fontId="1" fillId="0" borderId="7" xfId="0" applyFont="1" applyBorder="1"/>
    <xf numFmtId="164" fontId="1" fillId="2" borderId="8" xfId="0" applyNumberFormat="1" applyFont="1" applyFill="1" applyBorder="1"/>
    <xf numFmtId="164" fontId="1" fillId="2" borderId="0" xfId="0" applyNumberFormat="1" applyFont="1" applyFill="1" applyBorder="1"/>
    <xf numFmtId="164" fontId="1" fillId="2" borderId="9" xfId="0" applyNumberFormat="1" applyFont="1" applyFill="1" applyBorder="1"/>
    <xf numFmtId="0" fontId="1" fillId="0" borderId="0" xfId="0" applyFont="1" applyBorder="1"/>
    <xf numFmtId="0" fontId="1" fillId="0" borderId="10" xfId="0" applyFont="1" applyBorder="1"/>
    <xf numFmtId="164" fontId="1" fillId="2" borderId="11" xfId="0" applyNumberFormat="1" applyFont="1" applyFill="1" applyBorder="1"/>
    <xf numFmtId="164" fontId="1" fillId="2" borderId="12" xfId="0" applyNumberFormat="1" applyFont="1" applyFill="1" applyBorder="1"/>
    <xf numFmtId="164" fontId="1" fillId="2" borderId="13" xfId="0" applyNumberFormat="1" applyFont="1" applyFill="1" applyBorder="1"/>
    <xf numFmtId="164" fontId="1" fillId="0" borderId="0" xfId="0" applyNumberFormat="1" applyFont="1"/>
    <xf numFmtId="0" fontId="1" fillId="0" borderId="6" xfId="0" applyFont="1" applyFill="1" applyBorder="1"/>
    <xf numFmtId="0" fontId="1" fillId="0" borderId="7" xfId="0" applyFont="1" applyFill="1" applyBorder="1"/>
    <xf numFmtId="0" fontId="1" fillId="0" borderId="10" xfId="0" applyFont="1" applyFill="1" applyBorder="1"/>
    <xf numFmtId="10" fontId="1" fillId="0" borderId="3" xfId="0" applyNumberFormat="1" applyFont="1" applyBorder="1" applyAlignment="1">
      <alignment horizontal="center"/>
    </xf>
    <xf numFmtId="10" fontId="1" fillId="0" borderId="8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0" fontId="1" fillId="0" borderId="5" xfId="0" applyFont="1" applyBorder="1"/>
    <xf numFmtId="0" fontId="1" fillId="0" borderId="4" xfId="0" applyFont="1" applyBorder="1"/>
    <xf numFmtId="0" fontId="1" fillId="0" borderId="3" xfId="0" applyFont="1" applyBorder="1"/>
    <xf numFmtId="0" fontId="1" fillId="0" borderId="0" xfId="0" applyFont="1" applyFill="1" applyBorder="1"/>
    <xf numFmtId="0" fontId="1" fillId="0" borderId="8" xfId="0" applyFont="1" applyBorder="1"/>
    <xf numFmtId="165" fontId="1" fillId="0" borderId="3" xfId="0" applyNumberFormat="1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5" fontId="1" fillId="0" borderId="8" xfId="0" applyNumberFormat="1" applyFont="1" applyBorder="1"/>
    <xf numFmtId="165" fontId="1" fillId="0" borderId="0" xfId="0" applyNumberFormat="1" applyFont="1" applyBorder="1"/>
    <xf numFmtId="165" fontId="1" fillId="0" borderId="9" xfId="0" applyNumberFormat="1" applyFont="1" applyBorder="1"/>
    <xf numFmtId="165" fontId="1" fillId="0" borderId="11" xfId="0" applyNumberFormat="1" applyFont="1" applyBorder="1"/>
    <xf numFmtId="165" fontId="1" fillId="0" borderId="12" xfId="0" applyNumberFormat="1" applyFont="1" applyBorder="1"/>
    <xf numFmtId="165" fontId="1" fillId="0" borderId="13" xfId="0" applyNumberFormat="1" applyFont="1" applyBorder="1"/>
    <xf numFmtId="10" fontId="1" fillId="0" borderId="12" xfId="0" applyNumberFormat="1" applyFont="1" applyBorder="1" applyAlignment="1">
      <alignment horizontal="center"/>
    </xf>
    <xf numFmtId="165" fontId="1" fillId="0" borderId="8" xfId="0" applyNumberFormat="1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10" fontId="1" fillId="0" borderId="11" xfId="0" applyNumberFormat="1" applyFont="1" applyBorder="1" applyAlignment="1">
      <alignment horizontal="center"/>
    </xf>
    <xf numFmtId="10" fontId="1" fillId="0" borderId="11" xfId="1" applyNumberFormat="1" applyFont="1" applyBorder="1" applyAlignment="1">
      <alignment horizontal="center"/>
    </xf>
    <xf numFmtId="10" fontId="1" fillId="0" borderId="12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1" fillId="0" borderId="3" xfId="0" applyFont="1" applyBorder="1" applyAlignment="1">
      <alignment wrapText="1"/>
    </xf>
    <xf numFmtId="0" fontId="6" fillId="0" borderId="15" xfId="0" applyFont="1" applyBorder="1" applyAlignment="1">
      <alignment horizontal="center" vertical="center" wrapText="1"/>
    </xf>
    <xf numFmtId="2" fontId="1" fillId="0" borderId="6" xfId="0" applyNumberFormat="1" applyFont="1" applyBorder="1"/>
    <xf numFmtId="0" fontId="6" fillId="0" borderId="16" xfId="0" applyFont="1" applyBorder="1" applyAlignment="1">
      <alignment horizontal="center" vertical="center" wrapText="1"/>
    </xf>
    <xf numFmtId="2" fontId="1" fillId="0" borderId="7" xfId="0" applyNumberFormat="1" applyFont="1" applyBorder="1"/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2" fontId="1" fillId="0" borderId="10" xfId="0" applyNumberFormat="1" applyFont="1" applyBorder="1"/>
    <xf numFmtId="0" fontId="1" fillId="0" borderId="0" xfId="0" applyFont="1" applyAlignment="1">
      <alignment wrapText="1"/>
    </xf>
    <xf numFmtId="0" fontId="1" fillId="0" borderId="6" xfId="0" applyFont="1" applyBorder="1" applyAlignment="1">
      <alignment horizontal="center" vertical="center" wrapText="1"/>
    </xf>
    <xf numFmtId="164" fontId="1" fillId="0" borderId="0" xfId="0" applyNumberFormat="1" applyFont="1" applyBorder="1"/>
    <xf numFmtId="0" fontId="1" fillId="0" borderId="7" xfId="0" applyFont="1" applyBorder="1" applyAlignment="1">
      <alignment horizontal="center" vertical="center" wrapText="1"/>
    </xf>
    <xf numFmtId="10" fontId="1" fillId="0" borderId="8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/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10" xfId="0" applyFont="1" applyBorder="1" applyAlignment="1">
      <alignment vertical="center" wrapText="1"/>
    </xf>
  </cellXfs>
  <cellStyles count="6">
    <cellStyle name="Followed Hyperlink" xfId="3" builtinId="9" hidden="1"/>
    <cellStyle name="Followed Hyperlink" xfId="5" builtinId="9" hidden="1"/>
    <cellStyle name="Hyperlink" xfId="2" builtinId="8" hidden="1"/>
    <cellStyle name="Hyperlink" xfId="4" builtinId="8" hidden="1"/>
    <cellStyle name="Normal" xfId="0" builtinId="0"/>
    <cellStyle name="Percent" xfId="1" builtinId="5"/>
  </cellStyles>
  <dxfs count="158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Y99"/>
  <sheetViews>
    <sheetView tabSelected="1" topLeftCell="A4" workbookViewId="0">
      <selection activeCell="A4" sqref="A1:XFD1048576"/>
    </sheetView>
  </sheetViews>
  <sheetFormatPr baseColWidth="10" defaultColWidth="10.83203125" defaultRowHeight="12" x14ac:dyDescent="0.15"/>
  <cols>
    <col min="1" max="1" width="8.33203125" style="15" customWidth="1"/>
    <col min="2" max="2" width="14.83203125" style="60" customWidth="1"/>
    <col min="3" max="3" width="7.83203125" style="1" customWidth="1"/>
    <col min="4" max="4" width="9.83203125" style="1" customWidth="1"/>
    <col min="5" max="7" width="6.83203125" style="1" customWidth="1"/>
    <col min="8" max="8" width="2.83203125" style="1" customWidth="1"/>
    <col min="9" max="9" width="9.83203125" style="1" customWidth="1"/>
    <col min="10" max="12" width="6.83203125" style="1" customWidth="1"/>
    <col min="13" max="14" width="24.1640625" style="1" customWidth="1"/>
    <col min="15" max="24" width="8.83203125" style="1" customWidth="1"/>
    <col min="25" max="16384" width="10.83203125" style="1"/>
  </cols>
  <sheetData>
    <row r="1" spans="1:25" ht="13" thickBot="1" x14ac:dyDescent="0.2">
      <c r="B1" s="52"/>
      <c r="C1" s="29"/>
      <c r="D1" s="49" t="s">
        <v>1</v>
      </c>
      <c r="E1" s="50"/>
      <c r="F1" s="50"/>
      <c r="G1" s="51"/>
      <c r="I1" s="49" t="s">
        <v>2</v>
      </c>
      <c r="J1" s="50"/>
      <c r="K1" s="50"/>
      <c r="L1" s="51"/>
      <c r="M1" s="2"/>
      <c r="N1" s="49" t="s">
        <v>10</v>
      </c>
      <c r="O1" s="50"/>
      <c r="P1" s="51"/>
      <c r="Q1" s="49" t="s">
        <v>11</v>
      </c>
      <c r="R1" s="50"/>
      <c r="S1" s="51"/>
      <c r="T1" s="49" t="s">
        <v>12</v>
      </c>
      <c r="U1" s="50"/>
      <c r="V1" s="51"/>
      <c r="W1" s="49" t="s">
        <v>13</v>
      </c>
      <c r="X1" s="50"/>
      <c r="Y1" s="51"/>
    </row>
    <row r="2" spans="1:25" ht="13" thickBot="1" x14ac:dyDescent="0.2">
      <c r="B2" s="52"/>
      <c r="C2" s="28" t="s">
        <v>0</v>
      </c>
      <c r="D2" s="4" t="s">
        <v>21</v>
      </c>
      <c r="E2" s="5" t="s">
        <v>4</v>
      </c>
      <c r="F2" s="5" t="s">
        <v>5</v>
      </c>
      <c r="G2" s="6" t="s">
        <v>6</v>
      </c>
      <c r="H2" s="2"/>
      <c r="I2" s="4" t="s">
        <v>3</v>
      </c>
      <c r="J2" s="5" t="s">
        <v>4</v>
      </c>
      <c r="K2" s="5" t="s">
        <v>5</v>
      </c>
      <c r="L2" s="6" t="s">
        <v>6</v>
      </c>
      <c r="M2" s="3"/>
      <c r="N2" s="4" t="s">
        <v>7</v>
      </c>
      <c r="O2" s="5" t="s">
        <v>8</v>
      </c>
      <c r="P2" s="6" t="s">
        <v>9</v>
      </c>
      <c r="Q2" s="4" t="s">
        <v>7</v>
      </c>
      <c r="R2" s="5" t="s">
        <v>8</v>
      </c>
      <c r="S2" s="6" t="s">
        <v>9</v>
      </c>
      <c r="T2" s="4" t="s">
        <v>7</v>
      </c>
      <c r="U2" s="5" t="s">
        <v>8</v>
      </c>
      <c r="V2" s="6" t="s">
        <v>9</v>
      </c>
      <c r="W2" s="4" t="s">
        <v>7</v>
      </c>
      <c r="X2" s="5" t="s">
        <v>8</v>
      </c>
      <c r="Y2" s="6" t="s">
        <v>9</v>
      </c>
    </row>
    <row r="3" spans="1:25" x14ac:dyDescent="0.15">
      <c r="B3" s="53" t="s">
        <v>14</v>
      </c>
      <c r="C3" s="7">
        <v>22</v>
      </c>
      <c r="D3" s="8">
        <v>69288</v>
      </c>
      <c r="E3" s="9">
        <v>36.031999999999996</v>
      </c>
      <c r="F3" s="9">
        <v>40.000999999999998</v>
      </c>
      <c r="G3" s="10">
        <v>40.540999999999997</v>
      </c>
      <c r="I3" s="8">
        <v>70171</v>
      </c>
      <c r="J3" s="9">
        <v>36.005000000000003</v>
      </c>
      <c r="K3" s="9">
        <v>39.929000000000002</v>
      </c>
      <c r="L3" s="10">
        <v>40.649000000000001</v>
      </c>
      <c r="M3" s="54" t="s">
        <v>22</v>
      </c>
      <c r="N3" s="26">
        <f>bdrate($D3:$D6,E3:E6,$I3:$I6,J3:J6)</f>
        <v>2.4722126199146599E-2</v>
      </c>
      <c r="O3" s="26">
        <f>bdrate($D3:$D6,F3:F6,$I3:$I6,K3:K6)</f>
        <v>3.5742538673582791E-2</v>
      </c>
      <c r="P3" s="26">
        <f>bdrate($D3:$D6,G3:G6,$I3:$I6,L3:L6)</f>
        <v>2.5662325124534036E-2</v>
      </c>
      <c r="Q3" s="24">
        <f>bdrateOld($D3:$D6,E3:E6,$I3:$I6,J3:J6)</f>
        <v>2.4541498267881989E-2</v>
      </c>
      <c r="R3" s="26">
        <f>bdrateOld($D3:$D6,F3:F6,$I3:$I6,K3:K6)</f>
        <v>3.5364565894580258E-2</v>
      </c>
      <c r="S3" s="26">
        <f>bdrateOld($D3:$D6,G3:G6,$I3:$I6,L3:L6)</f>
        <v>2.5710782421631828E-2</v>
      </c>
      <c r="T3" s="33">
        <f>bdpsnr(D3:D6,E3:E6,I3:I6,J3:J6)</f>
        <v>-0.13919531428091733</v>
      </c>
      <c r="U3" s="34">
        <f>bdpsnr(D3:D6,F3:F6,I3:I6,K3:K6)</f>
        <v>-8.8351856427211731E-2</v>
      </c>
      <c r="V3" s="34">
        <f>bdpsnr(D3:D6,G3:G6,I3:I6,L3:L6)</f>
        <v>-8.1180094718902321E-2</v>
      </c>
      <c r="W3" s="33">
        <f>bdpsnrOld(D3:D6,E3:E6,I3:I6,J3:J6)</f>
        <v>-0.13849708618937145</v>
      </c>
      <c r="X3" s="34">
        <f>bdpsnrOld(D3:D6,F3:F6,I3:I6,K3:K6)</f>
        <v>-8.705019910519679E-2</v>
      </c>
      <c r="Y3" s="35">
        <f>bdpsnrOld(D3:D6,G3:G6,I3:I6,L3:L6)</f>
        <v>-8.1171553875587804E-2</v>
      </c>
    </row>
    <row r="4" spans="1:25" x14ac:dyDescent="0.15">
      <c r="B4" s="55"/>
      <c r="C4" s="11">
        <v>27</v>
      </c>
      <c r="D4" s="12">
        <v>42421</v>
      </c>
      <c r="E4" s="13">
        <v>33.206000000000003</v>
      </c>
      <c r="F4" s="13">
        <v>38.768999999999998</v>
      </c>
      <c r="G4" s="14">
        <v>39.106000000000002</v>
      </c>
      <c r="I4" s="12">
        <v>42926</v>
      </c>
      <c r="J4" s="13">
        <v>33.200000000000003</v>
      </c>
      <c r="K4" s="13">
        <v>38.774000000000001</v>
      </c>
      <c r="L4" s="14">
        <v>39.134</v>
      </c>
      <c r="M4" s="56" t="s">
        <v>23</v>
      </c>
      <c r="N4" s="27">
        <f>bdrateextend($D3:$D6,E3:E6,$I3:$I6,J3:J6)</f>
        <v>2.4722126199146599E-2</v>
      </c>
      <c r="O4" s="27">
        <f>bdrateextend($D3:$D6,F3:F6,$I3:$I6,K3:K6)</f>
        <v>3.5742538673582791E-2</v>
      </c>
      <c r="P4" s="27">
        <f>bdrateextend($D3:$D6,G3:G6,$I3:$I6,L3:L6)</f>
        <v>2.5662325124534036E-2</v>
      </c>
      <c r="Q4" s="25"/>
      <c r="R4" s="27"/>
      <c r="S4" s="27"/>
      <c r="T4" s="43">
        <f>bdpsnrextend(D3:D6,E3:E6,I3:I6,J3:J6)</f>
        <v>-0.13919531428091733</v>
      </c>
      <c r="U4" s="44">
        <f>bdpsnrextend(E3:E6,F3:F6,J3:J6,K3:K6)</f>
        <v>-2.9654443213199207E-2</v>
      </c>
      <c r="V4" s="44">
        <f>bdpsnrextend(F3:F6,G3:G6,K3:K6,L3:L6)</f>
        <v>2.572568565953846E-2</v>
      </c>
      <c r="W4" s="36"/>
      <c r="X4" s="37"/>
      <c r="Y4" s="38"/>
    </row>
    <row r="5" spans="1:25" x14ac:dyDescent="0.15">
      <c r="B5" s="55"/>
      <c r="C5" s="11">
        <v>32</v>
      </c>
      <c r="D5" s="12">
        <v>26306</v>
      </c>
      <c r="E5" s="13">
        <v>30.605</v>
      </c>
      <c r="F5" s="13">
        <v>37.472000000000001</v>
      </c>
      <c r="G5" s="14">
        <v>37.482999999999997</v>
      </c>
      <c r="I5" s="12">
        <v>26849</v>
      </c>
      <c r="J5" s="13">
        <v>30.530999999999999</v>
      </c>
      <c r="K5" s="13">
        <v>37.369</v>
      </c>
      <c r="L5" s="14">
        <v>37.393000000000001</v>
      </c>
      <c r="M5" s="56" t="s">
        <v>24</v>
      </c>
      <c r="N5" s="27">
        <f>bdrateextend($D3:$D6,E3:E6,$I3:$I6,J3:J6,"BothAlways")</f>
        <v>2.4826307018371629E-2</v>
      </c>
      <c r="O5" s="27">
        <f>bdrateextend($D3:$D6,F3:F6,$I3:$I6,K3:K6,"BothAlways")</f>
        <v>3.7961232038461246E-2</v>
      </c>
      <c r="P5" s="27">
        <f>bdrateextend($D3:$D6,G3:G6,$I3:$I6,L3:L6,"BothAlways")</f>
        <v>2.8929458401381059E-2</v>
      </c>
      <c r="Q5" s="25">
        <f>bdrateextend($D3:$D6,E3:E6,$I3:$I6,J3:J6,"Both")</f>
        <v>2.4722126199146599E-2</v>
      </c>
      <c r="R5" s="27">
        <f>bdrateextend($D3:$D6,F3:F6,$I3:$I6,K3:K6,"Both")</f>
        <v>3.5742538673582791E-2</v>
      </c>
      <c r="S5" s="27">
        <f>bdrateextend($D3:$D6,G3:G6,$I3:$I6,L3:L6,"Both")</f>
        <v>2.5662325124534036E-2</v>
      </c>
      <c r="T5" s="43">
        <f>bdpsnrextend($D3:$D6,E3:E6,$I3:$I6,J3:J6,"BothAlways")</f>
        <v>-0.14287056547202545</v>
      </c>
      <c r="U5" s="44">
        <f>bdpsnrextend($D3:$D6,F3:F6,$I3:$I6,K3:K6,"BothAlways")</f>
        <v>-8.1749441728078839E-2</v>
      </c>
      <c r="V5" s="44">
        <f>bdpsnrextend($D3:$D6,G3:G6,$I3:$I6,L3:L6,"BothAlways")</f>
        <v>-7.2390279765124882E-2</v>
      </c>
      <c r="W5" s="43">
        <f>bdpsnrextend($D3:$D6,E3:E6,$I3:$I6,J3:J6,"Both")</f>
        <v>-0.13919531428091733</v>
      </c>
      <c r="X5" s="44">
        <f>bdpsnrextend($D3:$D6,F3:F6,$I3:$I6,K3:K6,"Both")</f>
        <v>-8.8351856427211731E-2</v>
      </c>
      <c r="Y5" s="45">
        <f>bdpsnrextend($D3:$D6,G3:G6,$I3:$I6,L3:L6,"Both")</f>
        <v>-8.1180094718902321E-2</v>
      </c>
    </row>
    <row r="6" spans="1:25" ht="13" thickBot="1" x14ac:dyDescent="0.2">
      <c r="B6" s="57"/>
      <c r="C6" s="16">
        <v>37</v>
      </c>
      <c r="D6" s="17">
        <v>16756</v>
      </c>
      <c r="E6" s="18">
        <v>28.056000000000001</v>
      </c>
      <c r="F6" s="18">
        <v>36.432000000000002</v>
      </c>
      <c r="G6" s="19">
        <v>36.393000000000001</v>
      </c>
      <c r="I6" s="17">
        <v>17023</v>
      </c>
      <c r="J6" s="18">
        <v>27.896999999999998</v>
      </c>
      <c r="K6" s="18">
        <v>36.393999999999998</v>
      </c>
      <c r="L6" s="19">
        <v>36.167999999999999</v>
      </c>
      <c r="M6" s="56" t="s">
        <v>25</v>
      </c>
      <c r="N6" s="42">
        <f>bdrateextend($D3:$D6,E3:E6,$I3:$I6,J3:J6,"BothAlways",TRUE)</f>
        <v>-0.99661484453360161</v>
      </c>
      <c r="O6" s="42">
        <f>bdrateextend($D3:$D6,F3:F6,$I3:$I6,K3:K6,"BothAlways",TRUE)</f>
        <v>-0.97982628187167398</v>
      </c>
      <c r="P6" s="42">
        <f>bdrateextend($D3:$D6,G3:G6,$I3:$I6,L3:L6,"BothAlways",TRUE)</f>
        <v>1</v>
      </c>
      <c r="Q6" s="46"/>
      <c r="R6" s="42"/>
      <c r="S6" s="42"/>
      <c r="T6" s="47">
        <f>bdpsnrextend($D3:$D6,E3:E6,$I3:$I6,J3:J6,"BothAlways",TRUE)</f>
        <v>0.98886312290086853</v>
      </c>
      <c r="U6" s="48">
        <f>bdpsnrextend($D3:$D6,F3:F6,$I3:$I6,K3:K6,"BothAlways",TRUE)</f>
        <v>0.98886312290086853</v>
      </c>
      <c r="V6" s="48">
        <f>bdpsnrextend($D3:$D6,G3:G6,$I3:$I6,L3:L6,"BothAlways",TRUE)</f>
        <v>0.98886312290086853</v>
      </c>
      <c r="W6" s="39"/>
      <c r="X6" s="40"/>
      <c r="Y6" s="41"/>
    </row>
    <row r="7" spans="1:25" x14ac:dyDescent="0.15">
      <c r="B7" s="53" t="s">
        <v>15</v>
      </c>
      <c r="C7" s="7">
        <v>22</v>
      </c>
      <c r="D7" s="8">
        <v>23053</v>
      </c>
      <c r="E7" s="9">
        <v>35.988999999999997</v>
      </c>
      <c r="F7" s="9">
        <v>40.491999999999997</v>
      </c>
      <c r="G7" s="10">
        <v>40.088999999999999</v>
      </c>
      <c r="I7" s="8">
        <v>22985</v>
      </c>
      <c r="J7" s="9">
        <v>35.97</v>
      </c>
      <c r="K7" s="9">
        <v>40.463000000000001</v>
      </c>
      <c r="L7" s="10">
        <v>40.049999999999997</v>
      </c>
      <c r="M7" s="54" t="s">
        <v>22</v>
      </c>
      <c r="N7" s="26">
        <f>bdrate($D7:$D10,E7:E10,$I7:$I10,J7:J10)</f>
        <v>6.0791753287099404E-3</v>
      </c>
      <c r="O7" s="26">
        <f>bdrate($D7:$D10,F7:F10,$I7:$I10,K7:K10)</f>
        <v>1.9982547386687477E-2</v>
      </c>
      <c r="P7" s="26">
        <f>bdrate($D7:$D10,G7:G10,$I7:$I10,L7:L10)</f>
        <v>2.227561870076733E-2</v>
      </c>
      <c r="Q7" s="24">
        <f>bdrateOld($D7:$D10,E7:E10,$I7:$I10,J7:J10)</f>
        <v>6.1149530424882137E-3</v>
      </c>
      <c r="R7" s="26">
        <f>bdrateOld($D7:$D10,F7:F10,$I7:$I10,K7:K10)</f>
        <v>2.036255661298525E-2</v>
      </c>
      <c r="S7" s="26">
        <f>bdrateOld($D7:$D10,G7:G10,$I7:$I10,L7:L10)</f>
        <v>2.2628148383571967E-2</v>
      </c>
      <c r="T7" s="33">
        <f>bdpsnr(D7:D10,E7:E10,I7:I10,J7:J10)</f>
        <v>-3.0930963748881532E-2</v>
      </c>
      <c r="U7" s="34">
        <f>bdpsnr(D7:D10,F7:F10,I7:I10,K7:K10)</f>
        <v>-5.0585880239757512E-2</v>
      </c>
      <c r="V7" s="34">
        <f>bdpsnr(D7:D10,G7:G10,I7:I10,L7:L10)</f>
        <v>-6.275427428148983E-2</v>
      </c>
      <c r="W7" s="33">
        <f>bdpsnrOld(D7:D10,E7:E10,I7:I10,J7:J10)</f>
        <v>-3.1695006047873842E-2</v>
      </c>
      <c r="X7" s="34">
        <f>bdpsnrOld(D7:D10,F7:F10,I7:I10,K7:K10)</f>
        <v>-5.0886461592382616E-2</v>
      </c>
      <c r="Y7" s="35">
        <f>bdpsnrOld(D7:D10,G7:G10,I7:I10,L7:L10)</f>
        <v>-6.1412792873741628E-2</v>
      </c>
    </row>
    <row r="8" spans="1:25" x14ac:dyDescent="0.15">
      <c r="B8" s="55"/>
      <c r="C8" s="11">
        <v>27</v>
      </c>
      <c r="D8" s="12">
        <v>12861</v>
      </c>
      <c r="E8" s="13">
        <v>33.243000000000002</v>
      </c>
      <c r="F8" s="13">
        <v>38.862000000000002</v>
      </c>
      <c r="G8" s="14">
        <v>38.457999999999998</v>
      </c>
      <c r="I8" s="12">
        <v>12889</v>
      </c>
      <c r="J8" s="13">
        <v>33.218000000000004</v>
      </c>
      <c r="K8" s="13">
        <v>38.817</v>
      </c>
      <c r="L8" s="14">
        <v>38.414000000000001</v>
      </c>
      <c r="M8" s="56" t="s">
        <v>23</v>
      </c>
      <c r="N8" s="27">
        <f>bdrateextend($D7:$D10,E7:E10,$I7:$I10,J7:J10)</f>
        <v>6.0791753287099404E-3</v>
      </c>
      <c r="O8" s="27">
        <f>bdrateextend($D7:$D10,F7:F10,$I7:$I10,K7:K10)</f>
        <v>1.9982547386687477E-2</v>
      </c>
      <c r="P8" s="27">
        <f>bdrateextend($D7:$D10,G7:G10,$I7:$I10,L7:L10)</f>
        <v>2.227561870076733E-2</v>
      </c>
      <c r="Q8" s="25"/>
      <c r="R8" s="27"/>
      <c r="S8" s="27"/>
      <c r="T8" s="43">
        <f>bdpsnrextend(D7:D10,E7:E10,I7:I10,J7:J10)</f>
        <v>-3.0930963748881532E-2</v>
      </c>
      <c r="U8" s="44">
        <f>bdpsnrextend(E7:E10,F7:F10,J7:J10,K7:K10)</f>
        <v>-3.71739093590506E-2</v>
      </c>
      <c r="V8" s="44">
        <f>bdpsnrextend(F7:F10,G7:G10,K7:K10,L7:L10)</f>
        <v>-5.7494349099269067E-3</v>
      </c>
      <c r="W8" s="36"/>
      <c r="X8" s="37"/>
      <c r="Y8" s="38"/>
    </row>
    <row r="9" spans="1:25" x14ac:dyDescent="0.15">
      <c r="B9" s="55"/>
      <c r="C9" s="11">
        <v>32</v>
      </c>
      <c r="D9" s="12">
        <v>7591</v>
      </c>
      <c r="E9" s="13">
        <v>30.506</v>
      </c>
      <c r="F9" s="13">
        <v>37.406999999999996</v>
      </c>
      <c r="G9" s="14">
        <v>36.487000000000002</v>
      </c>
      <c r="I9" s="12">
        <v>7590</v>
      </c>
      <c r="J9" s="13">
        <v>30.48</v>
      </c>
      <c r="K9" s="13">
        <v>37.353000000000002</v>
      </c>
      <c r="L9" s="14">
        <v>36.401000000000003</v>
      </c>
      <c r="M9" s="56" t="s">
        <v>24</v>
      </c>
      <c r="N9" s="27">
        <f>bdrateextend($D7:$D10,E7:E10,$I7:$I10,J7:J10,"BothAlways")</f>
        <v>7.0525965411547542E-3</v>
      </c>
      <c r="O9" s="27">
        <f>bdrateextend($D7:$D10,F7:F10,$I7:$I10,K7:K10,"BothAlways")</f>
        <v>2.0936319285838723E-2</v>
      </c>
      <c r="P9" s="27">
        <f>bdrateextend($D7:$D10,G7:G10,$I7:$I10,L7:L10,"BothAlways")</f>
        <v>2.577703017445554E-2</v>
      </c>
      <c r="Q9" s="25">
        <f>bdrateextend($D7:$D10,E7:E10,$I7:$I10,J7:J10,"Both")</f>
        <v>6.0791753287099404E-3</v>
      </c>
      <c r="R9" s="27">
        <f>bdrateextend($D7:$D10,F7:F10,$I7:$I10,K7:K10,"Both")</f>
        <v>1.9982547386687477E-2</v>
      </c>
      <c r="S9" s="27">
        <f>bdrateextend($D7:$D10,G7:G10,$I7:$I10,L7:L10,"Both")</f>
        <v>2.227561870076733E-2</v>
      </c>
      <c r="T9" s="43">
        <f>bdpsnrextend($D7:$D10,E7:E10,$I7:$I10,J7:J10,"BothAlways")</f>
        <v>-3.639471922227084E-2</v>
      </c>
      <c r="U9" s="44">
        <f>bdpsnrextend($D7:$D10,F7:F10,$I7:$I10,K7:K10,"BothAlways")</f>
        <v>-4.6282258157196159E-2</v>
      </c>
      <c r="V9" s="44">
        <f>bdpsnrextend($D7:$D10,G7:G10,$I7:$I10,L7:L10,"BothAlways")</f>
        <v>-6.1526585946855637E-2</v>
      </c>
      <c r="W9" s="43">
        <f>bdpsnrextend($D7:$D10,E7:E10,$I7:$I10,J7:J10,"Both")</f>
        <v>-3.0930963748881532E-2</v>
      </c>
      <c r="X9" s="44">
        <f>bdpsnrextend($D7:$D10,F7:F10,$I7:$I10,K7:K10,"Both")</f>
        <v>-5.0585880239757512E-2</v>
      </c>
      <c r="Y9" s="45">
        <f>bdpsnrextend($D7:$D10,G7:G10,$I7:$I10,L7:L10,"Both")</f>
        <v>-6.275427428148983E-2</v>
      </c>
    </row>
    <row r="10" spans="1:25" ht="13" thickBot="1" x14ac:dyDescent="0.2">
      <c r="B10" s="57"/>
      <c r="C10" s="16">
        <v>37</v>
      </c>
      <c r="D10" s="17">
        <v>4698</v>
      </c>
      <c r="E10" s="18">
        <v>27.931000000000001</v>
      </c>
      <c r="F10" s="18">
        <v>36.448</v>
      </c>
      <c r="G10" s="19">
        <v>35.576000000000001</v>
      </c>
      <c r="I10" s="17">
        <v>4762</v>
      </c>
      <c r="J10" s="18">
        <v>27.942</v>
      </c>
      <c r="K10" s="18">
        <v>36.393000000000001</v>
      </c>
      <c r="L10" s="19">
        <v>35.520000000000003</v>
      </c>
      <c r="M10" s="56" t="s">
        <v>25</v>
      </c>
      <c r="N10" s="42">
        <f>bdrateextend($D7:$D10,E7:E10,$I7:$I10,J7:J10,"BothAlways",TRUE)</f>
        <v>-0.99627699180938223</v>
      </c>
      <c r="O10" s="42">
        <f>bdrateextend($D7:$D10,F7:F10,$I7:$I10,K7:K10,"BothAlways",TRUE)</f>
        <v>-0.99282888229475852</v>
      </c>
      <c r="P10" s="42">
        <f>bdrateextend($D7:$D10,G7:G10,$I7:$I10,L7:L10,"BothAlways",TRUE)</f>
        <v>-0.99135829824950106</v>
      </c>
      <c r="Q10" s="46"/>
      <c r="R10" s="42"/>
      <c r="S10" s="42"/>
      <c r="T10" s="47">
        <f>bdpsnrextend($D7:$D10,E7:E10,$I7:$I10,J7:J10,"BothAlways",TRUE)</f>
        <v>-0.98963640534410757</v>
      </c>
      <c r="U10" s="48">
        <f>bdpsnrextend($D7:$D10,F7:F10,$I7:$I10,K7:K10,"BothAlways",TRUE)</f>
        <v>-0.98963640534410757</v>
      </c>
      <c r="V10" s="48">
        <f>bdpsnrextend($D7:$D10,G7:G10,$I7:$I10,L7:L10,"BothAlways",TRUE)</f>
        <v>-0.98963640534410757</v>
      </c>
      <c r="W10" s="39"/>
      <c r="X10" s="40"/>
      <c r="Y10" s="41"/>
    </row>
    <row r="11" spans="1:25" x14ac:dyDescent="0.15">
      <c r="A11" s="31"/>
      <c r="B11" s="53" t="s">
        <v>16</v>
      </c>
      <c r="C11" s="21">
        <v>22</v>
      </c>
      <c r="D11" s="8">
        <v>44167</v>
      </c>
      <c r="E11" s="9">
        <v>36.747999999999998</v>
      </c>
      <c r="F11" s="9">
        <v>39.213000000000001</v>
      </c>
      <c r="G11" s="10">
        <v>39.621000000000002</v>
      </c>
      <c r="I11" s="8">
        <v>44495</v>
      </c>
      <c r="J11" s="9">
        <v>36.719000000000001</v>
      </c>
      <c r="K11" s="9">
        <v>39.198999999999998</v>
      </c>
      <c r="L11" s="10">
        <v>39.536000000000001</v>
      </c>
      <c r="M11" s="54" t="s">
        <v>22</v>
      </c>
      <c r="N11" s="26">
        <f>bdrate($D11:$D14,E11:E14,$I11:$I14,J11:J14)</f>
        <v>1.4974772588113971E-2</v>
      </c>
      <c r="O11" s="26">
        <f>bdrate($D11:$D14,F11:F14,$I11:$I14,K11:K14)</f>
        <v>1.6143273730250929E-2</v>
      </c>
      <c r="P11" s="26">
        <f>bdrate($D11:$D14,G11:G14,$I11:$I14,L11:L14)</f>
        <v>2.5378884180495609E-2</v>
      </c>
      <c r="Q11" s="24">
        <f>bdrateOld($D11:$D14,E11:E14,$I11:$I14,J11:J14)</f>
        <v>1.4893547268674201E-2</v>
      </c>
      <c r="R11" s="26">
        <f>bdrateOld($D11:$D14,F11:F14,$I11:$I14,K11:K14)</f>
        <v>1.5879219183294158E-2</v>
      </c>
      <c r="S11" s="26">
        <f>bdrateOld($D11:$D14,G11:G14,$I11:$I14,L11:L14)</f>
        <v>2.5182614896985811E-2</v>
      </c>
      <c r="T11" s="33">
        <f>bdpsnr(D11:D14,E11:E14,I11:I14,J11:J14)</f>
        <v>-8.8224239826594567E-2</v>
      </c>
      <c r="U11" s="34">
        <f>bdpsnr(D11:D14,F11:F14,I11:I14,K11:K14)</f>
        <v>-5.0100030448221679E-2</v>
      </c>
      <c r="V11" s="34">
        <f>bdpsnr(D11:D14,G11:G14,I11:I14,L11:L14)</f>
        <v>-6.7064697531449252E-2</v>
      </c>
      <c r="W11" s="33">
        <f>bdpsnrOld(D11:D14,E11:E14,I11:I14,J11:J14)</f>
        <v>-8.8157364204363167E-2</v>
      </c>
      <c r="X11" s="34">
        <f>bdpsnrOld(D11:D14,F11:F14,I11:I14,K11:K14)</f>
        <v>-5.0492783830197632E-2</v>
      </c>
      <c r="Y11" s="35">
        <f>bdpsnrOld(D11:D14,G11:G14,I11:I14,L11:L14)</f>
        <v>-6.7506936124796912E-2</v>
      </c>
    </row>
    <row r="12" spans="1:25" x14ac:dyDescent="0.15">
      <c r="A12" s="31"/>
      <c r="B12" s="55"/>
      <c r="C12" s="22">
        <v>27</v>
      </c>
      <c r="D12" s="12">
        <v>27249</v>
      </c>
      <c r="E12" s="13">
        <v>33.706000000000003</v>
      </c>
      <c r="F12" s="13">
        <v>37.595999999999997</v>
      </c>
      <c r="G12" s="14">
        <v>38.246000000000002</v>
      </c>
      <c r="I12" s="12">
        <v>27477</v>
      </c>
      <c r="J12" s="13">
        <v>33.68</v>
      </c>
      <c r="K12" s="13">
        <v>37.539000000000001</v>
      </c>
      <c r="L12" s="14">
        <v>38.182000000000002</v>
      </c>
      <c r="M12" s="56" t="s">
        <v>23</v>
      </c>
      <c r="N12" s="27">
        <f>bdrateextend($D11:$D14,E11:E14,$I11:$I14,J11:J14)</f>
        <v>1.4974772588113971E-2</v>
      </c>
      <c r="O12" s="27">
        <f>bdrateextend($D11:$D14,F11:F14,$I11:$I14,K11:K14)</f>
        <v>1.6143273730250929E-2</v>
      </c>
      <c r="P12" s="27">
        <f>bdrateextend($D11:$D14,G11:G14,$I11:$I14,L11:L14)</f>
        <v>2.5378884180495609E-2</v>
      </c>
      <c r="Q12" s="25"/>
      <c r="R12" s="27"/>
      <c r="S12" s="27"/>
      <c r="T12" s="43">
        <f>bdpsnrextend(D11:D14,E11:E14,I11:I14,J11:J14)</f>
        <v>-8.8224239826594567E-2</v>
      </c>
      <c r="U12" s="44">
        <f>bdpsnrextend(E11:E14,F11:F14,J11:J14,K11:K14)</f>
        <v>-2.6765055546144763E-3</v>
      </c>
      <c r="V12" s="44">
        <f>bdpsnrextend(F11:F14,G11:G14,K11:K14,L11:L14)</f>
        <v>-2.4649202456906959E-2</v>
      </c>
      <c r="W12" s="36"/>
      <c r="X12" s="37"/>
      <c r="Y12" s="38"/>
    </row>
    <row r="13" spans="1:25" x14ac:dyDescent="0.15">
      <c r="A13" s="31"/>
      <c r="B13" s="55"/>
      <c r="C13" s="22">
        <v>32</v>
      </c>
      <c r="D13" s="12">
        <v>16588</v>
      </c>
      <c r="E13" s="13">
        <v>30.835999999999999</v>
      </c>
      <c r="F13" s="13">
        <v>35.753999999999998</v>
      </c>
      <c r="G13" s="14">
        <v>36.613999999999997</v>
      </c>
      <c r="I13" s="12">
        <v>16822</v>
      </c>
      <c r="J13" s="13">
        <v>30.808</v>
      </c>
      <c r="K13" s="13">
        <v>35.771000000000001</v>
      </c>
      <c r="L13" s="14">
        <v>36.603999999999999</v>
      </c>
      <c r="M13" s="56" t="s">
        <v>24</v>
      </c>
      <c r="N13" s="27">
        <f>bdrateextend($D11:$D14,E11:E14,$I11:$I14,J11:J14,"BothAlways")</f>
        <v>1.4509934306025762E-2</v>
      </c>
      <c r="O13" s="27">
        <f>bdrateextend($D11:$D14,F11:F14,$I11:$I14,K11:K14,"BothAlways")</f>
        <v>1.7849167613839922E-2</v>
      </c>
      <c r="P13" s="27">
        <f>bdrateextend($D11:$D14,G11:G14,$I11:$I14,L11:L14,"BothAlways")</f>
        <v>2.7937283991289918E-2</v>
      </c>
      <c r="Q13" s="25">
        <f>bdrateextend($D11:$D14,E11:E14,$I11:$I14,J11:J14,"Both")</f>
        <v>1.4974772588113971E-2</v>
      </c>
      <c r="R13" s="27">
        <f>bdrateextend($D11:$D14,F11:F14,$I11:$I14,K11:K14,"Both")</f>
        <v>1.6143273730250929E-2</v>
      </c>
      <c r="S13" s="27">
        <f>bdrateextend($D11:$D14,G11:G14,$I11:$I14,L11:L14,"Both")</f>
        <v>2.5378884180495609E-2</v>
      </c>
      <c r="T13" s="43">
        <f>bdpsnrextend($D11:$D14,E11:E14,$I11:$I14,J11:J14,"BothAlways")</f>
        <v>-8.9830430309223858E-2</v>
      </c>
      <c r="U13" s="44">
        <f>bdpsnrextend($D11:$D14,F11:F14,$I11:$I14,K11:K14,"BothAlways")</f>
        <v>-3.9139874169450972E-2</v>
      </c>
      <c r="V13" s="44">
        <f>bdpsnrextend($D11:$D14,G11:G14,$I11:$I14,L11:L14,"BothAlways")</f>
        <v>-5.5113092614072295E-2</v>
      </c>
      <c r="W13" s="43">
        <f>bdpsnrextend($D11:$D14,E11:E14,$I11:$I14,J11:J14,"Both")</f>
        <v>-8.8224239826594567E-2</v>
      </c>
      <c r="X13" s="44">
        <f>bdpsnrextend($D11:$D14,F11:F14,$I11:$I14,K11:K14,"Both")</f>
        <v>-5.0100030448221679E-2</v>
      </c>
      <c r="Y13" s="45">
        <f>bdpsnrextend($D11:$D14,G11:G14,$I11:$I14,L11:L14,"Both")</f>
        <v>-6.7064697531449252E-2</v>
      </c>
    </row>
    <row r="14" spans="1:25" ht="13" thickBot="1" x14ac:dyDescent="0.2">
      <c r="A14" s="31"/>
      <c r="B14" s="57"/>
      <c r="C14" s="23">
        <v>37</v>
      </c>
      <c r="D14" s="17">
        <v>10256</v>
      </c>
      <c r="E14" s="18">
        <v>28.106999999999999</v>
      </c>
      <c r="F14" s="18">
        <v>34.642000000000003</v>
      </c>
      <c r="G14" s="19">
        <v>35.709000000000003</v>
      </c>
      <c r="I14" s="17">
        <v>10366</v>
      </c>
      <c r="J14" s="18">
        <v>28.091999999999999</v>
      </c>
      <c r="K14" s="18">
        <v>34.637999999999998</v>
      </c>
      <c r="L14" s="19">
        <v>35.701999999999998</v>
      </c>
      <c r="M14" s="56" t="s">
        <v>25</v>
      </c>
      <c r="N14" s="42">
        <f>bdrateextend($D11:$D14,E11:E14,$I11:$I14,J11:J14,"BothAlways",TRUE)</f>
        <v>-0.99664390695521399</v>
      </c>
      <c r="O14" s="42">
        <f>bdrateextend($D11:$D14,F11:F14,$I11:$I14,K11:K14,"BothAlways",TRUE)</f>
        <v>-0.99693721286370529</v>
      </c>
      <c r="P14" s="42">
        <f>bdrateextend($D11:$D14,G11:G14,$I11:$I14,L11:L14,"BothAlways",TRUE)</f>
        <v>-0.97827198364008161</v>
      </c>
      <c r="Q14" s="46"/>
      <c r="R14" s="42"/>
      <c r="S14" s="42"/>
      <c r="T14" s="47">
        <f>bdpsnrextend($D11:$D14,E11:E14,$I11:$I14,J11:J14,"BothAlways",TRUE)</f>
        <v>0.99269350731825012</v>
      </c>
      <c r="U14" s="48">
        <f>bdpsnrextend($D11:$D14,F11:F14,$I11:$I14,K11:K14,"BothAlways",TRUE)</f>
        <v>0.99269350731825012</v>
      </c>
      <c r="V14" s="48">
        <f>bdpsnrextend($D11:$D14,G11:G14,$I11:$I14,L11:L14,"BothAlways",TRUE)</f>
        <v>0.99269350731825012</v>
      </c>
      <c r="W14" s="39"/>
      <c r="X14" s="40"/>
      <c r="Y14" s="41"/>
    </row>
    <row r="15" spans="1:25" x14ac:dyDescent="0.15">
      <c r="A15" s="31"/>
      <c r="B15" s="53" t="s">
        <v>17</v>
      </c>
      <c r="C15" s="21">
        <v>22</v>
      </c>
      <c r="D15" s="8">
        <v>311342</v>
      </c>
      <c r="E15" s="9">
        <v>35.488</v>
      </c>
      <c r="F15" s="9">
        <v>38.313000000000002</v>
      </c>
      <c r="G15" s="10">
        <v>38.238</v>
      </c>
      <c r="I15" s="8">
        <v>312774</v>
      </c>
      <c r="J15" s="9">
        <v>35.488</v>
      </c>
      <c r="K15" s="9">
        <v>38.24</v>
      </c>
      <c r="L15" s="10">
        <v>38.29</v>
      </c>
      <c r="M15" s="54" t="s">
        <v>22</v>
      </c>
      <c r="N15" s="26">
        <f>bdrate($D15:$D18,E15:E18,$I15:$I18,J15:J18)</f>
        <v>1.2883801169405462E-2</v>
      </c>
      <c r="O15" s="26">
        <f>bdrate($D15:$D18,F15:F18,$I15:$I18,K15:K18)</f>
        <v>1.0179571914614716E-2</v>
      </c>
      <c r="P15" s="26">
        <f>bdrate($D15:$D18,G15:G18,$I15:$I18,L15:L18)</f>
        <v>9.0553151639523044E-3</v>
      </c>
      <c r="Q15" s="24">
        <f>bdrateOld($D15:$D18,E15:E18,$I15:$I18,J15:J18)</f>
        <v>1.3046276162862691E-2</v>
      </c>
      <c r="R15" s="26">
        <f>bdrateOld($D15:$D18,F15:F18,$I15:$I18,K15:K18)</f>
        <v>1.0805973420378701E-2</v>
      </c>
      <c r="S15" s="26">
        <f>bdrateOld($D15:$D18,G15:G18,$I15:$I18,L15:L18)</f>
        <v>1.0362162412409726E-2</v>
      </c>
      <c r="T15" s="33">
        <f>bdpsnr(D15:D18,E15:E18,I15:I18,J15:J18)</f>
        <v>-6.4865297436192224E-2</v>
      </c>
      <c r="U15" s="34">
        <f>bdpsnr(D15:D18,F15:F18,I15:I18,K15:K18)</f>
        <v>-3.1560588157335395E-2</v>
      </c>
      <c r="V15" s="34">
        <f>bdpsnr(D15:D18,G15:G18,I15:I18,L15:L18)</f>
        <v>-2.4082864262490265E-2</v>
      </c>
      <c r="W15" s="33">
        <f>bdpsnrOld(D15:D18,E15:E18,I15:I18,J15:J18)</f>
        <v>-6.4677790223226672E-2</v>
      </c>
      <c r="X15" s="34">
        <f>bdpsnrOld(D15:D18,F15:F18,I15:I18,K15:K18)</f>
        <v>-3.1568038270384111E-2</v>
      </c>
      <c r="Y15" s="35">
        <f>bdpsnrOld(D15:D18,G15:G18,I15:I18,L15:L18)</f>
        <v>-2.340073085514072E-2</v>
      </c>
    </row>
    <row r="16" spans="1:25" x14ac:dyDescent="0.15">
      <c r="A16" s="31"/>
      <c r="B16" s="55"/>
      <c r="C16" s="22">
        <v>27</v>
      </c>
      <c r="D16" s="12">
        <v>179957</v>
      </c>
      <c r="E16" s="13">
        <v>32.401000000000003</v>
      </c>
      <c r="F16" s="13">
        <v>36.320999999999998</v>
      </c>
      <c r="G16" s="14">
        <v>36.545999999999999</v>
      </c>
      <c r="I16" s="12">
        <v>181468</v>
      </c>
      <c r="J16" s="13">
        <v>32.377000000000002</v>
      </c>
      <c r="K16" s="13">
        <v>36.344999999999999</v>
      </c>
      <c r="L16" s="14">
        <v>36.526000000000003</v>
      </c>
      <c r="M16" s="56" t="s">
        <v>23</v>
      </c>
      <c r="N16" s="27">
        <f>bdrateextend($D15:$D18,E15:E18,$I15:$I18,J15:J18)</f>
        <v>1.2883801169405462E-2</v>
      </c>
      <c r="O16" s="27">
        <f>bdrateextend($D15:$D18,F15:F18,$I15:$I18,K15:K18)</f>
        <v>1.0179571914614716E-2</v>
      </c>
      <c r="P16" s="27">
        <f>bdrateextend($D15:$D18,G15:G18,$I15:$I18,L15:L18)</f>
        <v>9.0553151639523044E-3</v>
      </c>
      <c r="Q16" s="25"/>
      <c r="R16" s="27"/>
      <c r="S16" s="27"/>
      <c r="T16" s="43">
        <f>bdpsnrextend(D15:D18,E15:E18,I15:I18,J15:J18)</f>
        <v>-6.4865297436192224E-2</v>
      </c>
      <c r="U16" s="44">
        <f>bdpsnrextend(E15:E18,F15:F18,J15:J18,K15:K18)</f>
        <v>6.0248978033103197E-3</v>
      </c>
      <c r="V16" s="44">
        <f>bdpsnrextend(F15:F18,G15:G18,K15:K18,L15:L18)</f>
        <v>4.2473426888098393E-3</v>
      </c>
      <c r="W16" s="36"/>
      <c r="X16" s="37"/>
      <c r="Y16" s="38"/>
    </row>
    <row r="17" spans="1:25" x14ac:dyDescent="0.15">
      <c r="A17" s="31"/>
      <c r="B17" s="55"/>
      <c r="C17" s="22">
        <v>32</v>
      </c>
      <c r="D17" s="12">
        <v>100653</v>
      </c>
      <c r="E17" s="13">
        <v>29.501000000000001</v>
      </c>
      <c r="F17" s="13">
        <v>34.453000000000003</v>
      </c>
      <c r="G17" s="14">
        <v>34.822000000000003</v>
      </c>
      <c r="I17" s="12">
        <v>101776</v>
      </c>
      <c r="J17" s="13">
        <v>29.498999999999999</v>
      </c>
      <c r="K17" s="13">
        <v>34.466999999999999</v>
      </c>
      <c r="L17" s="14">
        <v>34.868000000000002</v>
      </c>
      <c r="M17" s="56" t="s">
        <v>24</v>
      </c>
      <c r="N17" s="27">
        <f>bdrateextend($D15:$D18,E15:E18,$I15:$I18,J15:J18,"BothAlways")</f>
        <v>1.3450220606237018E-2</v>
      </c>
      <c r="O17" s="27">
        <f>bdrateextend($D15:$D18,F15:F18,$I15:$I18,K15:K18,"BothAlways")</f>
        <v>1.1522893583818083E-2</v>
      </c>
      <c r="P17" s="27">
        <f>bdrateextend($D15:$D18,G15:G18,$I15:$I18,L15:L18,"BothAlways")</f>
        <v>1.1951088262602827E-2</v>
      </c>
      <c r="Q17" s="25">
        <f>bdrateextend($D15:$D18,E15:E18,$I15:$I18,J15:J18,"Both")</f>
        <v>1.2883801169405462E-2</v>
      </c>
      <c r="R17" s="27">
        <f>bdrateextend($D15:$D18,F15:F18,$I15:$I18,K15:K18,"Both")</f>
        <v>1.0179571914614716E-2</v>
      </c>
      <c r="S17" s="27">
        <f>bdrateextend($D15:$D18,G15:G18,$I15:$I18,L15:L18,"Both")</f>
        <v>9.0553151639523044E-3</v>
      </c>
      <c r="T17" s="43">
        <f>bdpsnrextend($D15:$D18,E15:E18,$I15:$I18,J15:J18,"BothAlways")</f>
        <v>-6.8201271194633831E-2</v>
      </c>
      <c r="U17" s="44">
        <f>bdpsnrextend($D15:$D18,F15:F18,$I15:$I18,K15:K18,"BothAlways")</f>
        <v>-3.0224185318761327E-2</v>
      </c>
      <c r="V17" s="44">
        <f>bdpsnrextend($D15:$D18,G15:G18,$I15:$I18,L15:L18,"BothAlways")</f>
        <v>-2.2927187587477808E-2</v>
      </c>
      <c r="W17" s="43">
        <f>bdpsnrextend($D15:$D18,E15:E18,$I15:$I18,J15:J18,"Both")</f>
        <v>-6.4865297436192224E-2</v>
      </c>
      <c r="X17" s="44">
        <f>bdpsnrextend($D15:$D18,F15:F18,$I15:$I18,K15:K18,"Both")</f>
        <v>-3.1560588157335395E-2</v>
      </c>
      <c r="Y17" s="45">
        <f>bdpsnrextend($D15:$D18,G15:G18,$I15:$I18,L15:L18,"Both")</f>
        <v>-2.4082864262490265E-2</v>
      </c>
    </row>
    <row r="18" spans="1:25" ht="13" thickBot="1" x14ac:dyDescent="0.2">
      <c r="A18" s="31"/>
      <c r="B18" s="57"/>
      <c r="C18" s="23">
        <v>37</v>
      </c>
      <c r="D18" s="17">
        <v>56599</v>
      </c>
      <c r="E18" s="18">
        <v>26.83</v>
      </c>
      <c r="F18" s="18">
        <v>33.058999999999997</v>
      </c>
      <c r="G18" s="19">
        <v>33.576000000000001</v>
      </c>
      <c r="I18" s="17">
        <v>57606</v>
      </c>
      <c r="J18" s="18">
        <v>26.79</v>
      </c>
      <c r="K18" s="18">
        <v>32.997</v>
      </c>
      <c r="L18" s="19">
        <v>33.463999999999999</v>
      </c>
      <c r="M18" s="56" t="s">
        <v>25</v>
      </c>
      <c r="N18" s="42">
        <f>bdrateextend($D15:$D18,E15:E18,$I15:$I18,J15:J18,"BothAlways",TRUE)</f>
        <v>1</v>
      </c>
      <c r="O18" s="42">
        <f>bdrateextend($D15:$D18,F15:F18,$I15:$I18,K15:K18,"BothAlways",TRUE)</f>
        <v>-0.98610582413399306</v>
      </c>
      <c r="P18" s="42">
        <f>bdrateextend($D15:$D18,G15:G18,$I15:$I18,L15:L18,"BothAlways",TRUE)</f>
        <v>1</v>
      </c>
      <c r="Q18" s="46"/>
      <c r="R18" s="42"/>
      <c r="S18" s="42"/>
      <c r="T18" s="47">
        <f>bdpsnrextend($D15:$D18,E15:E18,$I15:$I18,J15:J18,"BothAlways",TRUE)</f>
        <v>0.98965604738542667</v>
      </c>
      <c r="U18" s="48">
        <f>bdpsnrextend($D15:$D18,F15:F18,$I15:$I18,K15:K18,"BothAlways",TRUE)</f>
        <v>0.98965604738542667</v>
      </c>
      <c r="V18" s="48">
        <f>bdpsnrextend($D15:$D18,G15:G18,$I15:$I18,L15:L18,"BothAlways",TRUE)</f>
        <v>0.98965604738542667</v>
      </c>
      <c r="W18" s="39"/>
      <c r="X18" s="40"/>
      <c r="Y18" s="41"/>
    </row>
    <row r="19" spans="1:25" x14ac:dyDescent="0.15">
      <c r="B19" s="53" t="s">
        <v>18</v>
      </c>
      <c r="C19" s="7">
        <v>22</v>
      </c>
      <c r="D19" s="8">
        <v>56602</v>
      </c>
      <c r="E19" s="9">
        <v>35.828000000000003</v>
      </c>
      <c r="F19" s="9">
        <v>38.170999999999999</v>
      </c>
      <c r="G19" s="10">
        <v>39.118000000000002</v>
      </c>
      <c r="I19" s="8">
        <v>56911</v>
      </c>
      <c r="J19" s="9">
        <v>35.823</v>
      </c>
      <c r="K19" s="9">
        <v>38.185000000000002</v>
      </c>
      <c r="L19" s="10">
        <v>39.133000000000003</v>
      </c>
      <c r="M19" s="54" t="s">
        <v>22</v>
      </c>
      <c r="N19" s="26">
        <f>bdrate($D19:$D22,E19:E22,$I19:$I22,J19:J22)</f>
        <v>1.3876969385020477E-2</v>
      </c>
      <c r="O19" s="26">
        <f>bdrate($D19:$D22,F19:F22,$I19:$I22,K19:K22)</f>
        <v>2.0392159608898508E-2</v>
      </c>
      <c r="P19" s="26">
        <f>bdrate($D19:$D22,G19:G22,$I19:$I22,L19:L22)</f>
        <v>8.1048069141111956E-3</v>
      </c>
      <c r="Q19" s="24">
        <f>bdrateOld($D19:$D22,E19:E22,$I19:$I22,J19:J22)</f>
        <v>1.3952443200820452E-2</v>
      </c>
      <c r="R19" s="26">
        <f>bdrateOld($D19:$D22,F19:F22,$I19:$I22,K19:K22)</f>
        <v>1.9630604587567824E-2</v>
      </c>
      <c r="S19" s="26">
        <f>bdrateOld($D19:$D22,G19:G22,$I19:$I22,L19:L22)</f>
        <v>7.3934141315450397E-3</v>
      </c>
      <c r="T19" s="33">
        <f>bdpsnr(D19:D22,E19:E22,I19:I22,J19:J22)</f>
        <v>-6.8756267464758783E-2</v>
      </c>
      <c r="U19" s="34">
        <f>bdpsnr(D19:D22,F19:F22,I19:I22,K19:K22)</f>
        <v>-5.253327283928904E-2</v>
      </c>
      <c r="V19" s="34">
        <f>bdpsnr(D19:D22,G19:G22,I19:I22,L19:L22)</f>
        <v>-1.6653764168934698E-2</v>
      </c>
      <c r="W19" s="33">
        <f>bdpsnrOld(D19:D22,E19:E22,I19:I22,J19:J22)</f>
        <v>-6.8230201971737445E-2</v>
      </c>
      <c r="X19" s="34">
        <f>bdpsnrOld(D19:D22,F19:F22,I19:I22,K19:K22)</f>
        <v>-5.3607339041787751E-2</v>
      </c>
      <c r="Y19" s="35">
        <f>bdpsnrOld(D19:D22,G19:G22,I19:I22,L19:L22)</f>
        <v>-1.712373359884737E-2</v>
      </c>
    </row>
    <row r="20" spans="1:25" x14ac:dyDescent="0.15">
      <c r="B20" s="55"/>
      <c r="C20" s="11">
        <v>27</v>
      </c>
      <c r="D20" s="12">
        <v>33836</v>
      </c>
      <c r="E20" s="13">
        <v>32.908999999999999</v>
      </c>
      <c r="F20" s="13">
        <v>36.606000000000002</v>
      </c>
      <c r="G20" s="14">
        <v>37.984999999999999</v>
      </c>
      <c r="I20" s="12">
        <v>34382</v>
      </c>
      <c r="J20" s="13">
        <v>32.902999999999999</v>
      </c>
      <c r="K20" s="13">
        <v>36.581000000000003</v>
      </c>
      <c r="L20" s="14">
        <v>38.04</v>
      </c>
      <c r="M20" s="56" t="s">
        <v>23</v>
      </c>
      <c r="N20" s="27">
        <f>bdrateextend($D19:$D22,E19:E22,$I19:$I22,J19:J22)</f>
        <v>1.3876969385020477E-2</v>
      </c>
      <c r="O20" s="27">
        <f>bdrateextend($D19:$D22,F19:F22,$I19:$I22,K19:K22)</f>
        <v>2.0392159608898508E-2</v>
      </c>
      <c r="P20" s="27">
        <f>bdrateextend($D19:$D22,G19:G22,$I19:$I22,L19:L22)</f>
        <v>8.1048069141111956E-3</v>
      </c>
      <c r="Q20" s="25"/>
      <c r="R20" s="27"/>
      <c r="S20" s="27"/>
      <c r="T20" s="43">
        <f>bdpsnrextend(D19:D22,E19:E22,I19:I22,J19:J22)</f>
        <v>-6.8756267464758783E-2</v>
      </c>
      <c r="U20" s="44">
        <f>bdpsnrextend(E19:E22,F19:F22,J19:J22,K19:K22)</f>
        <v>-1.49290635364548E-2</v>
      </c>
      <c r="V20" s="44">
        <f>bdpsnrextend(F19:F22,G19:G22,K19:K22,L19:L22)</f>
        <v>3.0223043869829196E-2</v>
      </c>
      <c r="W20" s="36"/>
      <c r="X20" s="37"/>
      <c r="Y20" s="38"/>
    </row>
    <row r="21" spans="1:25" x14ac:dyDescent="0.15">
      <c r="B21" s="55"/>
      <c r="C21" s="11">
        <v>32</v>
      </c>
      <c r="D21" s="12">
        <v>19884</v>
      </c>
      <c r="E21" s="13">
        <v>30.346</v>
      </c>
      <c r="F21" s="13">
        <v>34.923999999999999</v>
      </c>
      <c r="G21" s="14">
        <v>36.970999999999997</v>
      </c>
      <c r="I21" s="12">
        <v>20192</v>
      </c>
      <c r="J21" s="13">
        <v>30.349</v>
      </c>
      <c r="K21" s="13">
        <v>34.906999999999996</v>
      </c>
      <c r="L21" s="14">
        <v>36.944000000000003</v>
      </c>
      <c r="M21" s="56" t="s">
        <v>24</v>
      </c>
      <c r="N21" s="27">
        <f>bdrateextend($D19:$D22,E19:E22,$I19:$I22,J19:J22,"BothAlways")</f>
        <v>1.1713179967678178E-2</v>
      </c>
      <c r="O21" s="27">
        <f>bdrateextend($D19:$D22,F19:F22,$I19:$I22,K19:K22,"BothAlways")</f>
        <v>2.1513681974595134E-2</v>
      </c>
      <c r="P21" s="27">
        <f>bdrateextend($D19:$D22,G19:G22,$I19:$I22,L19:L22,"BothAlways")</f>
        <v>1.0254676474880986E-2</v>
      </c>
      <c r="Q21" s="25">
        <f>bdrateextend($D19:$D22,E19:E22,$I19:$I22,J19:J22,"Both")</f>
        <v>1.3876969385020477E-2</v>
      </c>
      <c r="R21" s="27">
        <f>bdrateextend($D19:$D22,F19:F22,$I19:$I22,K19:K22,"Both")</f>
        <v>2.0392159608898508E-2</v>
      </c>
      <c r="S21" s="27">
        <f>bdrateextend($D19:$D22,G19:G22,$I19:$I22,L19:L22,"Both")</f>
        <v>8.1048069141111956E-3</v>
      </c>
      <c r="T21" s="43">
        <f>bdpsnrextend($D19:$D22,E19:E22,$I19:$I22,J19:J22,"BothAlways")</f>
        <v>-7.2053129959849471E-2</v>
      </c>
      <c r="U21" s="44">
        <f>bdpsnrextend($D19:$D22,F19:F22,$I19:$I22,K19:K22,"BothAlways")</f>
        <v>-3.8834386767949654E-2</v>
      </c>
      <c r="V21" s="44">
        <f>bdpsnrextend($D19:$D22,G19:G22,$I19:$I22,L19:L22,"BothAlways")</f>
        <v>-1.5238580715263822E-2</v>
      </c>
      <c r="W21" s="43">
        <f>bdpsnrextend($D19:$D22,E19:E22,$I19:$I22,J19:J22,"Both")</f>
        <v>-6.8756267464758783E-2</v>
      </c>
      <c r="X21" s="44">
        <f>bdpsnrextend($D19:$D22,F19:F22,$I19:$I22,K19:K22,"Both")</f>
        <v>-5.253327283928904E-2</v>
      </c>
      <c r="Y21" s="45">
        <f>bdpsnrextend($D19:$D22,G19:G22,$I19:$I22,L19:L22,"Both")</f>
        <v>-1.6653764168934698E-2</v>
      </c>
    </row>
    <row r="22" spans="1:25" ht="13" thickBot="1" x14ac:dyDescent="0.2">
      <c r="B22" s="58"/>
      <c r="C22" s="16">
        <v>37</v>
      </c>
      <c r="D22" s="17">
        <v>11700</v>
      </c>
      <c r="E22" s="18">
        <v>27.93</v>
      </c>
      <c r="F22" s="18">
        <v>34.121000000000002</v>
      </c>
      <c r="G22" s="19">
        <v>36.1</v>
      </c>
      <c r="I22" s="17">
        <v>11809</v>
      </c>
      <c r="J22" s="18">
        <v>27.934000000000001</v>
      </c>
      <c r="K22" s="18">
        <v>34.103999999999999</v>
      </c>
      <c r="L22" s="19">
        <v>36.082999999999998</v>
      </c>
      <c r="M22" s="56" t="s">
        <v>25</v>
      </c>
      <c r="N22" s="42">
        <f>bdrateextend($D19:$D22,E19:E22,$I19:$I22,J19:J22,"BothAlways",TRUE)</f>
        <v>-0.99886047100531727</v>
      </c>
      <c r="O22" s="42">
        <f>bdrateextend($D19:$D22,F19:F22,$I19:$I22,K19:K22,"BothAlways",TRUE)</f>
        <v>1</v>
      </c>
      <c r="P22" s="42">
        <f>bdrateextend($D19:$D22,G19:G22,$I19:$I22,L19:L22,"BothAlways",TRUE)</f>
        <v>1</v>
      </c>
      <c r="Q22" s="46"/>
      <c r="R22" s="42"/>
      <c r="S22" s="42"/>
      <c r="T22" s="47">
        <f>bdpsnrextend($D19:$D22,E19:E22,$I19:$I22,J19:J22,"BothAlways",TRUE)</f>
        <v>0.99411774646218865</v>
      </c>
      <c r="U22" s="48">
        <f>bdpsnrextend($D19:$D22,F19:F22,$I19:$I22,K19:K22,"BothAlways",TRUE)</f>
        <v>0.99411774646218865</v>
      </c>
      <c r="V22" s="48">
        <f>bdpsnrextend($D19:$D22,G19:G22,$I19:$I22,L19:L22,"BothAlways",TRUE)</f>
        <v>0.99411774646218865</v>
      </c>
      <c r="W22" s="39"/>
      <c r="X22" s="40"/>
      <c r="Y22" s="41"/>
    </row>
    <row r="23" spans="1:25" x14ac:dyDescent="0.15">
      <c r="B23" s="53" t="s">
        <v>19</v>
      </c>
      <c r="C23" s="7">
        <v>22</v>
      </c>
      <c r="D23" s="8">
        <v>1489874</v>
      </c>
      <c r="E23" s="9">
        <v>34.027000000000001</v>
      </c>
      <c r="F23" s="9">
        <v>35.167000000000002</v>
      </c>
      <c r="G23" s="10">
        <v>35.079000000000001</v>
      </c>
      <c r="I23" s="8">
        <v>1486697</v>
      </c>
      <c r="J23" s="9">
        <v>34.027999999999999</v>
      </c>
      <c r="K23" s="9">
        <v>35.162999999999997</v>
      </c>
      <c r="L23" s="10">
        <v>35.076000000000001</v>
      </c>
      <c r="M23" s="54" t="s">
        <v>22</v>
      </c>
      <c r="N23" s="26">
        <f>bdrate($D23:$D26,E23:E26,$I23:$I26,J23:J26)</f>
        <v>-4.7119486006552691E-4</v>
      </c>
      <c r="O23" s="26">
        <f>bdrate($D23:$D26,F23:F26,$I23:$I26,K23:K26)</f>
        <v>-5.2863076021048006E-4</v>
      </c>
      <c r="P23" s="26">
        <f>bdrate($D23:$D26,G23:G26,$I23:$I26,L23:L26)</f>
        <v>-3.3311459017922873E-3</v>
      </c>
      <c r="Q23" s="24">
        <f>bdrateOld($D23:$D26,E23:E26,$I23:$I26,J23:J26)</f>
        <v>-5.0883361327880294E-4</v>
      </c>
      <c r="R23" s="26">
        <f>bdrateOld($D23:$D26,F23:F26,$I23:$I26,K23:K26)</f>
        <v>1.4107980970656797E-4</v>
      </c>
      <c r="S23" s="26">
        <f>bdrateOld($D23:$D26,G23:G26,$I23:$I26,L23:L26)</f>
        <v>-3.0087694737932491E-3</v>
      </c>
      <c r="T23" s="33">
        <f>bdpsnr(D23:D26,E23:E26,I23:I26,J23:J26)</f>
        <v>1.7924846428219174E-3</v>
      </c>
      <c r="U23" s="34">
        <f>bdpsnr(D23:D26,F23:F26,I23:I26,K23:K26)</f>
        <v>1.5179993476913186E-3</v>
      </c>
      <c r="V23" s="34">
        <f>bdpsnr(D23:D26,G23:G26,I23:I26,L23:L26)</f>
        <v>9.6730791283118327E-3</v>
      </c>
      <c r="W23" s="33">
        <f>bdpsnrOld(D23:D26,E23:E26,I23:I26,J23:J26)</f>
        <v>1.5480681738485049E-3</v>
      </c>
      <c r="X23" s="34">
        <f>bdpsnrOld(D23:D26,F23:F26,I23:I26,K23:K26)</f>
        <v>7.1405698499688909E-4</v>
      </c>
      <c r="Y23" s="35">
        <f>bdpsnrOld(D23:D26,G23:G26,I23:I26,L23:L26)</f>
        <v>9.1650221506010803E-3</v>
      </c>
    </row>
    <row r="24" spans="1:25" x14ac:dyDescent="0.15">
      <c r="B24" s="55"/>
      <c r="C24" s="11">
        <v>27</v>
      </c>
      <c r="D24" s="12">
        <v>731462</v>
      </c>
      <c r="E24" s="13">
        <v>30.631</v>
      </c>
      <c r="F24" s="13">
        <v>33.164000000000001</v>
      </c>
      <c r="G24" s="14">
        <v>32.97</v>
      </c>
      <c r="I24" s="12">
        <v>729832</v>
      </c>
      <c r="J24" s="13">
        <v>30.632000000000001</v>
      </c>
      <c r="K24" s="13">
        <v>33.152999999999999</v>
      </c>
      <c r="L24" s="14">
        <v>32.963000000000001</v>
      </c>
      <c r="M24" s="56" t="s">
        <v>23</v>
      </c>
      <c r="N24" s="27">
        <f>bdrateextend($D23:$D26,E23:E26,$I23:$I26,J23:J26)</f>
        <v>-4.7119486006552691E-4</v>
      </c>
      <c r="O24" s="27">
        <f>bdrateextend($D23:$D26,F23:F26,$I23:$I26,K23:K26)</f>
        <v>-5.2863076021048006E-4</v>
      </c>
      <c r="P24" s="27">
        <f>bdrateextend($D23:$D26,G23:G26,$I23:$I26,L23:L26)</f>
        <v>-3.3311459017922873E-3</v>
      </c>
      <c r="Q24" s="25"/>
      <c r="R24" s="27"/>
      <c r="S24" s="27"/>
      <c r="T24" s="43">
        <f>bdpsnrextend(D23:D26,E23:E26,I23:I26,J23:J26)</f>
        <v>1.7924846428219174E-3</v>
      </c>
      <c r="U24" s="44">
        <f>bdpsnrextend(E23:E26,F23:F26,J23:J26,K23:K26)</f>
        <v>-3.3236039277468731E-4</v>
      </c>
      <c r="V24" s="44">
        <f>bdpsnrextend(F23:F26,G23:G26,K23:K26,L23:L26)</f>
        <v>7.6490657348331085E-3</v>
      </c>
      <c r="W24" s="36"/>
      <c r="X24" s="37"/>
      <c r="Y24" s="38"/>
    </row>
    <row r="25" spans="1:25" x14ac:dyDescent="0.15">
      <c r="B25" s="55"/>
      <c r="C25" s="11">
        <v>32</v>
      </c>
      <c r="D25" s="12">
        <v>353145</v>
      </c>
      <c r="E25" s="13">
        <v>27.577000000000002</v>
      </c>
      <c r="F25" s="13">
        <v>31.154</v>
      </c>
      <c r="G25" s="14">
        <v>30.841000000000001</v>
      </c>
      <c r="I25" s="12">
        <v>352337</v>
      </c>
      <c r="J25" s="13">
        <v>27.57</v>
      </c>
      <c r="K25" s="13">
        <v>31.172999999999998</v>
      </c>
      <c r="L25" s="14">
        <v>30.863</v>
      </c>
      <c r="M25" s="56" t="s">
        <v>24</v>
      </c>
      <c r="N25" s="27">
        <f>bdrateextend($D23:$D26,E23:E26,$I23:$I26,J23:J26,"BothAlways")</f>
        <v>2.8218414963498972E-4</v>
      </c>
      <c r="O25" s="27">
        <f>bdrateextend($D23:$D26,F23:F26,$I23:$I26,K23:K26,"BothAlways")</f>
        <v>1.7575379878720376E-4</v>
      </c>
      <c r="P25" s="27">
        <f>bdrateextend($D23:$D26,G23:G26,$I23:$I26,L23:L26,"BothAlways")</f>
        <v>-2.9513471325192109E-3</v>
      </c>
      <c r="Q25" s="25">
        <f>bdrateextend($D23:$D26,E23:E26,$I23:$I26,J23:J26,"Both")</f>
        <v>-4.7119486006552691E-4</v>
      </c>
      <c r="R25" s="27">
        <f>bdrateextend($D23:$D26,F23:F26,$I23:$I26,K23:K26,"Both")</f>
        <v>-5.2863076021048006E-4</v>
      </c>
      <c r="S25" s="27">
        <f>bdrateextend($D23:$D26,G23:G26,$I23:$I26,L23:L26,"Both")</f>
        <v>-3.3311459017922873E-3</v>
      </c>
      <c r="T25" s="43">
        <f>bdpsnrextend($D23:$D26,E23:E26,$I23:$I26,J23:J26,"BothAlways")</f>
        <v>1.0870343870698566E-2</v>
      </c>
      <c r="U25" s="44">
        <f>bdpsnrextend($D23:$D26,F23:F26,$I23:$I26,K23:K26,"BothAlways")</f>
        <v>-5.290229050867385E-4</v>
      </c>
      <c r="V25" s="44">
        <f>bdpsnrextend($D23:$D26,G23:G26,$I23:$I26,L23:L26,"BothAlways")</f>
        <v>8.1757138850021525E-3</v>
      </c>
      <c r="W25" s="43">
        <f>bdpsnrextend($D23:$D26,E23:E26,$I23:$I26,J23:J26,"Both")</f>
        <v>1.7924846428219174E-3</v>
      </c>
      <c r="X25" s="44">
        <f>bdpsnrextend($D23:$D26,F23:F26,$I23:$I26,K23:K26,"Both")</f>
        <v>1.5179993476913186E-3</v>
      </c>
      <c r="Y25" s="45">
        <f>bdpsnrextend($D23:$D26,G23:G26,$I23:$I26,L23:L26,"Both")</f>
        <v>9.6730791283118327E-3</v>
      </c>
    </row>
    <row r="26" spans="1:25" ht="13" thickBot="1" x14ac:dyDescent="0.2">
      <c r="B26" s="57"/>
      <c r="C26" s="16">
        <v>37</v>
      </c>
      <c r="D26" s="17">
        <v>189607</v>
      </c>
      <c r="E26" s="18">
        <v>24.68</v>
      </c>
      <c r="F26" s="18">
        <v>29.704999999999998</v>
      </c>
      <c r="G26" s="19">
        <v>29.225999999999999</v>
      </c>
      <c r="I26" s="17">
        <v>189463</v>
      </c>
      <c r="J26" s="18">
        <v>24.629000000000001</v>
      </c>
      <c r="K26" s="18">
        <v>29.649000000000001</v>
      </c>
      <c r="L26" s="19">
        <v>29.216000000000001</v>
      </c>
      <c r="M26" s="56" t="s">
        <v>25</v>
      </c>
      <c r="N26" s="42">
        <f>bdrateextend($D23:$D26,E23:E26,$I23:$I26,J23:J26,"BothAlways",TRUE)</f>
        <v>1</v>
      </c>
      <c r="O26" s="42">
        <f>bdrateextend($D23:$D26,F23:F26,$I23:$I26,K23:K26,"BothAlways",TRUE)</f>
        <v>-0.99926766752105367</v>
      </c>
      <c r="P26" s="42">
        <f>bdrateextend($D23:$D26,G23:G26,$I23:$I26,L23:L26,"BothAlways",TRUE)</f>
        <v>-0.99948744233726294</v>
      </c>
      <c r="Q26" s="46"/>
      <c r="R26" s="42"/>
      <c r="S26" s="42"/>
      <c r="T26" s="47">
        <f>bdpsnrextend($D23:$D26,E23:E26,$I23:$I26,J23:J26,"BothAlways",TRUE)</f>
        <v>-0.99896450216128974</v>
      </c>
      <c r="U26" s="48">
        <f>bdpsnrextend($D23:$D26,F23:F26,$I23:$I26,K23:K26,"BothAlways",TRUE)</f>
        <v>-0.99896450216128974</v>
      </c>
      <c r="V26" s="48">
        <f>bdpsnrextend($D23:$D26,G23:G26,$I23:$I26,L23:L26,"BothAlways",TRUE)</f>
        <v>-0.99896450216128974</v>
      </c>
      <c r="W26" s="39"/>
      <c r="X26" s="40"/>
      <c r="Y26" s="41"/>
    </row>
    <row r="27" spans="1:25" x14ac:dyDescent="0.15">
      <c r="A27" s="31"/>
      <c r="B27" s="53" t="s">
        <v>20</v>
      </c>
      <c r="C27" s="21">
        <v>22</v>
      </c>
      <c r="D27" s="8">
        <v>1114087</v>
      </c>
      <c r="E27" s="9">
        <v>35</v>
      </c>
      <c r="F27" s="9">
        <v>36.664999999999999</v>
      </c>
      <c r="G27" s="10">
        <v>38.548000000000002</v>
      </c>
      <c r="I27" s="8">
        <v>1115327</v>
      </c>
      <c r="J27" s="9">
        <v>35.003</v>
      </c>
      <c r="K27" s="9">
        <v>36.661000000000001</v>
      </c>
      <c r="L27" s="10">
        <v>38.543999999999997</v>
      </c>
      <c r="M27" s="54" t="s">
        <v>22</v>
      </c>
      <c r="N27" s="26">
        <f>bdrate($D27:$D30,E27:E30,$I27:$I30,J27:J30)</f>
        <v>3.0911847856780472E-3</v>
      </c>
      <c r="O27" s="26">
        <f>bdrate($D27:$D30,F27:F30,$I27:$I30,K27:K30)</f>
        <v>6.1555046419534687E-3</v>
      </c>
      <c r="P27" s="26">
        <f>bdrate($D27:$D30,G27:G30,$I27:$I30,L27:L30)</f>
        <v>1.1636901641023822E-2</v>
      </c>
      <c r="Q27" s="24">
        <f>bdrateOld($D27:$D30,E27:E30,$I27:$I30,J27:J30)</f>
        <v>3.0920054851981682E-3</v>
      </c>
      <c r="R27" s="26">
        <f>bdrateOld($D27:$D30,F27:F30,$I27:$I30,K27:K30)</f>
        <v>6.0998992117418105E-3</v>
      </c>
      <c r="S27" s="26">
        <f>bdrateOld($D27:$D30,G27:G30,$I27:$I30,L27:L30)</f>
        <v>1.1657698534308203E-2</v>
      </c>
      <c r="T27" s="33">
        <f>bdpsnr(D27:D30,E27:E30,I27:I30,J27:J30)</f>
        <v>-1.2960601345978762E-2</v>
      </c>
      <c r="U27" s="34">
        <f>bdpsnr(D27:D30,F27:F30,I27:I30,K27:K30)</f>
        <v>-1.2915390256008659E-2</v>
      </c>
      <c r="V27" s="34">
        <f>bdpsnr(D27:D30,G27:G30,I27:I30,L27:L30)</f>
        <v>-2.123246109110662E-2</v>
      </c>
      <c r="W27" s="33">
        <f>bdpsnrOld(D27:D30,E27:E30,I27:I30,J27:J30)</f>
        <v>-1.2812460195616104E-2</v>
      </c>
      <c r="X27" s="34">
        <f>bdpsnrOld(D27:D30,F27:F30,I27:I30,K27:K30)</f>
        <v>-1.2587544342338747E-2</v>
      </c>
      <c r="Y27" s="35">
        <f>bdpsnrOld(D27:D30,G27:G30,I27:I30,L27:L30)</f>
        <v>-2.1026913401028965E-2</v>
      </c>
    </row>
    <row r="28" spans="1:25" x14ac:dyDescent="0.15">
      <c r="A28" s="31"/>
      <c r="B28" s="55"/>
      <c r="C28" s="22">
        <v>27</v>
      </c>
      <c r="D28" s="12">
        <v>536814</v>
      </c>
      <c r="E28" s="13">
        <v>31.843</v>
      </c>
      <c r="F28" s="13">
        <v>35.155999999999999</v>
      </c>
      <c r="G28" s="14">
        <v>37.22</v>
      </c>
      <c r="I28" s="12">
        <v>538199</v>
      </c>
      <c r="J28" s="13">
        <v>31.84</v>
      </c>
      <c r="K28" s="13">
        <v>35.161000000000001</v>
      </c>
      <c r="L28" s="14">
        <v>37.216999999999999</v>
      </c>
      <c r="M28" s="56" t="s">
        <v>23</v>
      </c>
      <c r="N28" s="27">
        <f>bdrateextend($D27:$D30,E27:E30,$I27:$I30,J27:J30)</f>
        <v>3.0911847856780472E-3</v>
      </c>
      <c r="O28" s="27">
        <f>bdrateextend($D27:$D30,F27:F30,$I27:$I30,K27:K30)</f>
        <v>6.1555046419534687E-3</v>
      </c>
      <c r="P28" s="27">
        <f>bdrateextend($D27:$D30,G27:G30,$I27:$I30,L27:L30)</f>
        <v>1.1636901641023822E-2</v>
      </c>
      <c r="Q28" s="25"/>
      <c r="R28" s="27"/>
      <c r="S28" s="27"/>
      <c r="T28" s="43">
        <f>bdpsnrextend(D27:D30,E27:E30,I27:I30,J27:J30)</f>
        <v>-1.2960601345978762E-2</v>
      </c>
      <c r="U28" s="44">
        <f>bdpsnrextend(E27:E30,F27:F30,J27:J30,K27:K30)</f>
        <v>-7.0548656616446822E-3</v>
      </c>
      <c r="V28" s="44">
        <f>bdpsnrextend(F27:F30,G27:G30,K27:K30,L27:L30)</f>
        <v>-1.0226453481026238E-2</v>
      </c>
      <c r="W28" s="36"/>
      <c r="X28" s="37"/>
      <c r="Y28" s="38"/>
    </row>
    <row r="29" spans="1:25" x14ac:dyDescent="0.15">
      <c r="A29" s="31"/>
      <c r="B29" s="55"/>
      <c r="C29" s="22">
        <v>32</v>
      </c>
      <c r="D29" s="12">
        <v>264324</v>
      </c>
      <c r="E29" s="13">
        <v>28.998000000000001</v>
      </c>
      <c r="F29" s="13">
        <v>33.512</v>
      </c>
      <c r="G29" s="14">
        <v>35.777000000000001</v>
      </c>
      <c r="I29" s="12">
        <v>265287</v>
      </c>
      <c r="J29" s="13">
        <v>28.994</v>
      </c>
      <c r="K29" s="13">
        <v>33.494</v>
      </c>
      <c r="L29" s="14">
        <v>35.749000000000002</v>
      </c>
      <c r="M29" s="56" t="s">
        <v>24</v>
      </c>
      <c r="N29" s="27">
        <f>bdrateextend($D27:$D30,E27:E30,$I27:$I30,J27:J30,"BothAlways")</f>
        <v>4.5462943764191799E-3</v>
      </c>
      <c r="O29" s="27">
        <f>bdrateextend($D27:$D30,F27:F30,$I27:$I30,K27:K30,"BothAlways")</f>
        <v>8.5084312515593119E-3</v>
      </c>
      <c r="P29" s="27">
        <f>bdrateextend($D27:$D30,G27:G30,$I27:$I30,L27:L30,"BothAlways")</f>
        <v>1.4333369287510722E-2</v>
      </c>
      <c r="Q29" s="25">
        <f>bdrateextend($D27:$D30,E27:E30,$I27:$I30,J27:J30,"Both")</f>
        <v>3.0911847856780472E-3</v>
      </c>
      <c r="R29" s="27">
        <f>bdrateextend($D27:$D30,F27:F30,$I27:$I30,K27:K30,"Both")</f>
        <v>6.1555046419534687E-3</v>
      </c>
      <c r="S29" s="27">
        <f>bdrateextend($D27:$D30,G27:G30,$I27:$I30,L27:L30,"Both")</f>
        <v>1.1636901641023822E-2</v>
      </c>
      <c r="T29" s="43">
        <f>bdpsnrextend($D27:$D30,E27:E30,$I27:$I30,J27:J30,"BothAlways")</f>
        <v>-1.8443064645323096E-2</v>
      </c>
      <c r="U29" s="44">
        <f>bdpsnrextend($D27:$D30,F27:F30,$I27:$I30,K27:K30,"BothAlways")</f>
        <v>-6.847274910794174E-3</v>
      </c>
      <c r="V29" s="44">
        <f>bdpsnrextend($D27:$D30,G27:G30,$I27:$I30,L27:L30,"BothAlways")</f>
        <v>-1.5302472953713946E-2</v>
      </c>
      <c r="W29" s="43">
        <f>bdpsnrextend($D27:$D30,E27:E30,$I27:$I30,J27:J30,"Both")</f>
        <v>-1.2960601345978762E-2</v>
      </c>
      <c r="X29" s="44">
        <f>bdpsnrextend($D27:$D30,F27:F30,$I27:$I30,K27:K30,"Both")</f>
        <v>-1.2915390256008659E-2</v>
      </c>
      <c r="Y29" s="45">
        <f>bdpsnrextend($D27:$D30,G27:G30,$I27:$I30,L27:L30,"Both")</f>
        <v>-2.123246109110662E-2</v>
      </c>
    </row>
    <row r="30" spans="1:25" ht="13" thickBot="1" x14ac:dyDescent="0.2">
      <c r="A30" s="31"/>
      <c r="B30" s="57"/>
      <c r="C30" s="23">
        <v>37</v>
      </c>
      <c r="D30" s="17">
        <v>142545</v>
      </c>
      <c r="E30" s="18">
        <v>26.315000000000001</v>
      </c>
      <c r="F30" s="18">
        <v>32.340000000000003</v>
      </c>
      <c r="G30" s="19">
        <v>34.814</v>
      </c>
      <c r="I30" s="17">
        <v>143055</v>
      </c>
      <c r="J30" s="18">
        <v>26.327000000000002</v>
      </c>
      <c r="K30" s="18">
        <v>32.322000000000003</v>
      </c>
      <c r="L30" s="19">
        <v>34.774000000000001</v>
      </c>
      <c r="M30" s="59" t="s">
        <v>25</v>
      </c>
      <c r="N30" s="42">
        <f>bdrateextend($D27:$D30,E27:E30,$I27:$I30,J27:J30,"BothAlways",TRUE)</f>
        <v>0.99861830742659752</v>
      </c>
      <c r="O30" s="42">
        <f>bdrateextend($D27:$D30,F27:F30,$I27:$I30,K27:K30,"BothAlways",TRUE)</f>
        <v>-0.99907514450867108</v>
      </c>
      <c r="P30" s="42">
        <f>bdrateextend($D27:$D30,G27:G30,$I27:$I30,L27:L30,"BothAlways",TRUE)</f>
        <v>-0.99892876272094133</v>
      </c>
      <c r="Q30" s="46"/>
      <c r="R30" s="42"/>
      <c r="S30" s="42"/>
      <c r="T30" s="47">
        <f>bdpsnrextend($D27:$D30,E27:E30,$I27:$I30,J27:J30,"BothAlways",TRUE)</f>
        <v>0.99826303417224571</v>
      </c>
      <c r="U30" s="48">
        <f>bdpsnrextend($D27:$D30,F27:F30,$I27:$I30,K27:K30,"BothAlways",TRUE)</f>
        <v>0.99826303417224571</v>
      </c>
      <c r="V30" s="48">
        <f>bdpsnrextend($D27:$D30,G27:G30,$I27:$I30,L27:L30,"BothAlways",TRUE)</f>
        <v>0.99826303417224571</v>
      </c>
      <c r="W30" s="39"/>
      <c r="X30" s="40"/>
      <c r="Y30" s="41"/>
    </row>
    <row r="33" spans="1:25" x14ac:dyDescent="0.15">
      <c r="A33" s="1"/>
    </row>
    <row r="36" spans="1:25" ht="13" thickBot="1" x14ac:dyDescent="0.2">
      <c r="A36" s="1"/>
    </row>
    <row r="37" spans="1:25" x14ac:dyDescent="0.15">
      <c r="A37" s="1"/>
      <c r="B37" s="61" t="s">
        <v>26</v>
      </c>
      <c r="C37" s="30">
        <v>22</v>
      </c>
      <c r="D37" s="8">
        <v>1114087</v>
      </c>
      <c r="E37" s="9">
        <v>35</v>
      </c>
      <c r="F37" s="9">
        <v>36.664999999999999</v>
      </c>
      <c r="G37" s="10">
        <v>38.548000000000002</v>
      </c>
      <c r="H37" s="20"/>
      <c r="I37" s="8">
        <v>1115327</v>
      </c>
      <c r="J37" s="9">
        <v>35.003</v>
      </c>
      <c r="K37" s="9">
        <v>36.661000000000001</v>
      </c>
      <c r="L37" s="10">
        <v>38.543999999999997</v>
      </c>
      <c r="M37" s="62" t="s">
        <v>22</v>
      </c>
      <c r="N37" s="24">
        <f>bdrate($D37:$D40,E37:E40,$I37:$I40,J37:J40)</f>
        <v>3.0911847856780472E-3</v>
      </c>
      <c r="O37" s="26">
        <f>bdrate($D37:$D40,F37:F40,$I37:$I40,K37:K40)</f>
        <v>6.1555046419534687E-3</v>
      </c>
      <c r="P37" s="26">
        <f>bdrate($D37:$D40,G37:G40,$I37:$I40,L37:L40)</f>
        <v>1.1636901641023822E-2</v>
      </c>
      <c r="Q37" s="24">
        <f>bdrateOld($D37:$D40,E37:E40,$I37:$I40,J37:J40)</f>
        <v>3.0920054851981682E-3</v>
      </c>
      <c r="R37" s="26">
        <f>bdrateOld($D37:$D40,F37:F40,$I37:$I40,K37:K40)</f>
        <v>6.0998992117418105E-3</v>
      </c>
      <c r="S37" s="26">
        <f>bdrateOld($D37:$D40,G37:G40,$I37:$I40,L37:L40)</f>
        <v>1.1657698534308203E-2</v>
      </c>
      <c r="T37" s="33">
        <f>bdpsnr(D37:D40,E37:E40,I37:I40,J37:J40)</f>
        <v>-1.2960601345978762E-2</v>
      </c>
      <c r="U37" s="34">
        <f>bdpsnr(E37:E40,F37:F40,J37:J40,K37:K40)</f>
        <v>-7.0548656616446822E-3</v>
      </c>
      <c r="V37" s="34">
        <f>bdpsnr(F37:F40,G37:G40,K37:K40,L37:L40)</f>
        <v>-1.0226453481026238E-2</v>
      </c>
      <c r="W37" s="33">
        <f>bdpsnrOld(D37:D40,E37:E40,I37:I40,J37:J40)</f>
        <v>-1.2812460195616104E-2</v>
      </c>
      <c r="X37" s="34">
        <f>bdpsnrOld(E37:E40,F37:F40,J37:J40,K37:K40)</f>
        <v>-6.8435957227874324E-3</v>
      </c>
      <c r="Y37" s="35">
        <f>bdpsnrOld(F37:F40,G37:G40,K37:K40,L37:L40)</f>
        <v>-1.0333991355321764E-2</v>
      </c>
    </row>
    <row r="38" spans="1:25" ht="16" customHeight="1" x14ac:dyDescent="0.15">
      <c r="A38" s="1"/>
      <c r="B38" s="63"/>
      <c r="C38" s="32">
        <v>27</v>
      </c>
      <c r="D38" s="12">
        <v>536814</v>
      </c>
      <c r="E38" s="13">
        <v>31.843</v>
      </c>
      <c r="F38" s="13">
        <v>35.155999999999999</v>
      </c>
      <c r="G38" s="14">
        <v>37.22</v>
      </c>
      <c r="H38" s="20"/>
      <c r="I38" s="12">
        <v>538199</v>
      </c>
      <c r="J38" s="13">
        <v>31.84</v>
      </c>
      <c r="K38" s="13">
        <v>35.161000000000001</v>
      </c>
      <c r="L38" s="14">
        <v>37.216999999999999</v>
      </c>
      <c r="M38" s="62"/>
      <c r="N38" s="25"/>
      <c r="O38" s="27"/>
      <c r="P38" s="27"/>
      <c r="Q38" s="25"/>
      <c r="R38" s="27"/>
      <c r="S38" s="27"/>
      <c r="T38" s="43"/>
      <c r="U38" s="44"/>
      <c r="V38" s="44"/>
      <c r="W38" s="43"/>
      <c r="X38" s="44"/>
      <c r="Y38" s="45"/>
    </row>
    <row r="39" spans="1:25" ht="16" customHeight="1" x14ac:dyDescent="0.15">
      <c r="A39" s="1"/>
      <c r="B39" s="63"/>
      <c r="C39" s="32">
        <v>32</v>
      </c>
      <c r="D39" s="12">
        <v>264324</v>
      </c>
      <c r="E39" s="13">
        <v>28.998000000000001</v>
      </c>
      <c r="F39" s="13">
        <v>33.512</v>
      </c>
      <c r="G39" s="14">
        <v>35.777000000000001</v>
      </c>
      <c r="H39" s="20"/>
      <c r="I39" s="12">
        <v>265287</v>
      </c>
      <c r="J39" s="13">
        <v>28.994</v>
      </c>
      <c r="K39" s="13">
        <v>33.494</v>
      </c>
      <c r="L39" s="14">
        <v>35.749000000000002</v>
      </c>
      <c r="M39" s="62" t="s">
        <v>23</v>
      </c>
      <c r="N39" s="25">
        <f>bdrateextend($D37:$D43,E37:E43,$I37:$I43,J37:J43)</f>
        <v>1.6744247505804388E-3</v>
      </c>
      <c r="O39" s="27">
        <f>bdrateextend($D37:$D43,F37:F43,$I37:$I43,K37:K43)</f>
        <v>1.0208655381134912E-2</v>
      </c>
      <c r="P39" s="27">
        <f>bdrateextend($D37:$D43,G37:G43,$I37:$I43,L37:L43)</f>
        <v>2.0654591845384207E-2</v>
      </c>
      <c r="Q39" s="25"/>
      <c r="R39" s="27"/>
      <c r="S39" s="27"/>
      <c r="T39" s="43">
        <f>bdpsnrextend(D37:D43,E37:E43,I37:I43,J37:J43)</f>
        <v>-6.5386607213202786E-3</v>
      </c>
      <c r="U39" s="44">
        <f>bdpsnrextend(E37:E43,F37:F43,J37:J43,K37:K43)</f>
        <v>-1.5591614092954287E-2</v>
      </c>
      <c r="V39" s="44">
        <f>bdpsnrextend(F37:F43,G37:G43,K37:K43,L37:L43)</f>
        <v>-1.5564792567457518E-2</v>
      </c>
      <c r="W39" s="36"/>
      <c r="X39" s="37"/>
      <c r="Y39" s="38"/>
    </row>
    <row r="40" spans="1:25" ht="16" customHeight="1" x14ac:dyDescent="0.15">
      <c r="A40" s="1"/>
      <c r="B40" s="63"/>
      <c r="C40" s="32">
        <v>37</v>
      </c>
      <c r="D40" s="12">
        <v>142545</v>
      </c>
      <c r="E40" s="13">
        <v>26.315000000000001</v>
      </c>
      <c r="F40" s="13">
        <v>32.340000000000003</v>
      </c>
      <c r="G40" s="14">
        <v>34.814</v>
      </c>
      <c r="H40" s="20"/>
      <c r="I40" s="12">
        <v>143055</v>
      </c>
      <c r="J40" s="13">
        <v>26.327000000000002</v>
      </c>
      <c r="K40" s="13">
        <v>32.322000000000003</v>
      </c>
      <c r="L40" s="14">
        <v>34.774000000000001</v>
      </c>
      <c r="M40" s="62"/>
      <c r="N40" s="25"/>
      <c r="O40" s="27">
        <f>bdrateextend($D37:$D43,F37:F43,$I37:$I43,K37:K43)</f>
        <v>1.0208655381134912E-2</v>
      </c>
      <c r="P40" s="27"/>
      <c r="Q40" s="64" t="s">
        <v>27</v>
      </c>
      <c r="R40" s="65"/>
      <c r="S40" s="66"/>
      <c r="T40" s="43"/>
      <c r="U40" s="44"/>
      <c r="V40" s="44"/>
      <c r="W40" s="36"/>
      <c r="X40" s="37"/>
      <c r="Y40" s="38"/>
    </row>
    <row r="41" spans="1:25" ht="16" customHeight="1" x14ac:dyDescent="0.15">
      <c r="A41" s="1"/>
      <c r="B41" s="63"/>
      <c r="C41" s="32">
        <v>39</v>
      </c>
      <c r="D41" s="12">
        <v>71272.5</v>
      </c>
      <c r="E41" s="13">
        <v>23.815000000000001</v>
      </c>
      <c r="F41" s="13">
        <v>31.340000000000003</v>
      </c>
      <c r="G41" s="14">
        <v>33.814</v>
      </c>
      <c r="H41" s="20"/>
      <c r="I41" s="12">
        <v>71527.5</v>
      </c>
      <c r="J41" s="13">
        <v>23.827000000000002</v>
      </c>
      <c r="K41" s="13">
        <v>31.322000000000003</v>
      </c>
      <c r="L41" s="14">
        <v>33.774000000000001</v>
      </c>
      <c r="M41" s="62" t="s">
        <v>24</v>
      </c>
      <c r="N41" s="25">
        <f>bdrateextend($D37:$D43,E37:E43,$I37:$I43,J37:J43,"BothAlways")</f>
        <v>2.1530359111459063E-3</v>
      </c>
      <c r="O41" s="27">
        <f>bdrateextend($D37:$D43,F37:F43,$I37:$I43,K37:K43,"BothAlways")</f>
        <v>1.0970025133583361E-2</v>
      </c>
      <c r="P41" s="27">
        <f>bdrateextend($D37:$D43,G37:G43,$I37:$I43,L37:L43,"BothAlways")</f>
        <v>2.1415664009561963E-2</v>
      </c>
      <c r="Q41" s="25">
        <f>bdrateextend($D37:$D43,E37:E43,$I37:$I43,J37:J43,"Both")</f>
        <v>1.6744247505804388E-3</v>
      </c>
      <c r="R41" s="27">
        <f>bdrateextend($D37:$D43,F37:F43,$I37:$I43,K37:K43,"Both")</f>
        <v>1.0208655381134912E-2</v>
      </c>
      <c r="S41" s="27">
        <f>bdrateextend($D37:$D43,G37:G43,$I37:$I43,L37:L43,"Both")</f>
        <v>2.0654591845384207E-2</v>
      </c>
      <c r="T41" s="43">
        <f>bdpsnrextend($D37:$D43,E37:E43,$I37:$I43,J37:J43,"BothAlways")</f>
        <v>-8.212237587695034E-3</v>
      </c>
      <c r="U41" s="44">
        <f>bdpsnrextend($D37:$D43,F37:F43,$I37:$I43,K37:K43,"BothAlways")</f>
        <v>-1.655329757083715E-2</v>
      </c>
      <c r="V41" s="44">
        <f>bdpsnrextend($D37:$D43,G37:G43,$I37:$I43,L37:L43,"BothAlways")</f>
        <v>-3.2180991818857037E-2</v>
      </c>
      <c r="W41" s="43">
        <f>bdpsnrextend($D37:$D43,E37:E43,$I37:$I43,J37:J43,"Both")</f>
        <v>-6.5386607213202786E-3</v>
      </c>
      <c r="X41" s="44">
        <f>bdpsnrextend($D37:$D43,F37:F43,$I37:$I43,K37:K43,"Both")</f>
        <v>-1.7934979765130293E-2</v>
      </c>
      <c r="Y41" s="45">
        <f>bdpsnrextend($D37:$D43,G37:G43,$I37:$I43,L37:L43,"Both")</f>
        <v>-3.3366041166758328E-2</v>
      </c>
    </row>
    <row r="42" spans="1:25" ht="16" customHeight="1" x14ac:dyDescent="0.15">
      <c r="A42" s="1"/>
      <c r="B42" s="63"/>
      <c r="C42" s="32">
        <v>41</v>
      </c>
      <c r="D42" s="12">
        <v>35636.25</v>
      </c>
      <c r="E42" s="13">
        <v>21.315000000000001</v>
      </c>
      <c r="F42" s="13">
        <v>30.340000000000003</v>
      </c>
      <c r="G42" s="14">
        <v>32.814</v>
      </c>
      <c r="H42" s="20"/>
      <c r="I42" s="12">
        <v>35763.75</v>
      </c>
      <c r="J42" s="13">
        <v>21.327000000000002</v>
      </c>
      <c r="K42" s="13">
        <v>30.322000000000003</v>
      </c>
      <c r="L42" s="14">
        <v>32.774000000000001</v>
      </c>
      <c r="M42" s="62"/>
      <c r="N42" s="25"/>
      <c r="O42" s="27"/>
      <c r="P42" s="27"/>
      <c r="Q42" s="25"/>
      <c r="R42" s="27"/>
      <c r="S42" s="27"/>
      <c r="T42" s="43"/>
      <c r="U42" s="44"/>
      <c r="V42" s="44"/>
      <c r="W42" s="43"/>
      <c r="X42" s="44"/>
      <c r="Y42" s="45"/>
    </row>
    <row r="43" spans="1:25" ht="17" customHeight="1" thickBot="1" x14ac:dyDescent="0.2">
      <c r="A43" s="1"/>
      <c r="B43" s="67"/>
      <c r="C43" s="68">
        <v>43</v>
      </c>
      <c r="D43" s="17">
        <v>17818.125</v>
      </c>
      <c r="E43" s="18">
        <v>18.815000000000001</v>
      </c>
      <c r="F43" s="18">
        <v>29.340000000000003</v>
      </c>
      <c r="G43" s="19">
        <v>31.814</v>
      </c>
      <c r="H43" s="20"/>
      <c r="I43" s="17">
        <v>17881.875</v>
      </c>
      <c r="J43" s="18">
        <v>18.827000000000002</v>
      </c>
      <c r="K43" s="18">
        <v>29.322000000000003</v>
      </c>
      <c r="L43" s="19">
        <v>31.774000000000001</v>
      </c>
      <c r="M43" s="62" t="s">
        <v>25</v>
      </c>
      <c r="N43" s="46">
        <f>bdrateextend($D37:$D43,E37:E43,$I37:$I43,J37:J43,"BothAlways",TRUE)</f>
        <v>0.99925857275254859</v>
      </c>
      <c r="O43" s="42">
        <f>bdrateextend($D37:$D43,F37:F43,$I37:$I43,K37:K43,"BothAlways",TRUE)</f>
        <v>-0.99945392491467611</v>
      </c>
      <c r="P43" s="42">
        <f>bdrateextend($D37:$D43,G37:G43,$I37:$I43,L37:L43,"BothAlways",TRUE)</f>
        <v>-0.99940599940599872</v>
      </c>
      <c r="Q43" s="46"/>
      <c r="R43" s="42"/>
      <c r="S43" s="42"/>
      <c r="T43" s="47">
        <f>bdpsnrextend($D37:$D43,E37:E43,$I37:$I43,J37:J43,"BothAlways",TRUE)</f>
        <v>0.99913641199648007</v>
      </c>
      <c r="U43" s="48">
        <f>bdpsnrextend($D37:$D43,F37:F43,$I37:$I43,K37:K43,"BothAlways",TRUE)</f>
        <v>0.99913641199648007</v>
      </c>
      <c r="V43" s="48">
        <f>bdpsnrextend($D37:$D43,G37:G43,$I37:$I43,L37:L43,"BothAlways",TRUE)</f>
        <v>0.99913641199648007</v>
      </c>
      <c r="W43" s="39"/>
      <c r="X43" s="40"/>
      <c r="Y43" s="41"/>
    </row>
    <row r="44" spans="1:25" x14ac:dyDescent="0.15">
      <c r="A44" s="1"/>
      <c r="M44" s="15"/>
    </row>
    <row r="45" spans="1:25" x14ac:dyDescent="0.15">
      <c r="A45" s="1"/>
      <c r="M45" s="15"/>
    </row>
    <row r="46" spans="1:25" ht="13" thickBot="1" x14ac:dyDescent="0.2">
      <c r="A46" s="1"/>
      <c r="M46" s="15"/>
    </row>
    <row r="47" spans="1:25" x14ac:dyDescent="0.15">
      <c r="A47" s="1"/>
      <c r="B47" s="69" t="s">
        <v>28</v>
      </c>
      <c r="C47" s="30">
        <v>22</v>
      </c>
      <c r="D47" s="8">
        <v>1114087</v>
      </c>
      <c r="E47" s="9">
        <v>35</v>
      </c>
      <c r="F47" s="9">
        <v>36.664999999999999</v>
      </c>
      <c r="G47" s="10">
        <v>38.548000000000002</v>
      </c>
      <c r="H47" s="20"/>
      <c r="I47" s="8">
        <v>1115327</v>
      </c>
      <c r="J47" s="9">
        <v>35.003</v>
      </c>
      <c r="K47" s="9">
        <v>36.661000000000001</v>
      </c>
      <c r="L47" s="10">
        <v>38.543999999999997</v>
      </c>
      <c r="M47" s="62" t="s">
        <v>22</v>
      </c>
      <c r="N47" s="24" t="e">
        <f>bdrate($D47:$D50,E47:E50,$I47:$I50,J47:J50)</f>
        <v>#VALUE!</v>
      </c>
      <c r="O47" s="26" t="e">
        <f>bdrate($D47:$D50,F47:F50,$I47:$I50,K47:K50)</f>
        <v>#VALUE!</v>
      </c>
      <c r="P47" s="26" t="e">
        <f>bdrate($D47:$D50,G47:G50,$I47:$I50,L47:L50)</f>
        <v>#VALUE!</v>
      </c>
      <c r="Q47" s="24" t="e">
        <f>bdrateOld($D47:$D50,E47:E50,$I47:$I50,J47:J50)</f>
        <v>#VALUE!</v>
      </c>
      <c r="R47" s="26" t="e">
        <f>bdrateOld($D47:$D50,F47:F50,$I47:$I50,K47:K50)</f>
        <v>#VALUE!</v>
      </c>
      <c r="S47" s="26" t="e">
        <f>bdrateOld($D47:$D50,G47:G50,$I47:$I50,L47:L50)</f>
        <v>#VALUE!</v>
      </c>
      <c r="T47" s="33" t="e">
        <f>bdpsnr(D47:D50,E47:E50,I47:I50,J47:J50)</f>
        <v>#VALUE!</v>
      </c>
      <c r="U47" s="34" t="e">
        <f>bdpsnr(E47:E50,F47:F50,J47:J50,K47:K50)</f>
        <v>#VALUE!</v>
      </c>
      <c r="V47" s="34" t="e">
        <f>bdpsnr(F47:F50,G47:G50,K47:K50,L47:L50)</f>
        <v>#VALUE!</v>
      </c>
      <c r="W47" s="33" t="e">
        <f>bdpsnrOld(D47:D50,E47:E50,I47:I50,J47:J50)</f>
        <v>#VALUE!</v>
      </c>
      <c r="X47" s="34" t="e">
        <f>bdpsnrOld(E47:E50,F47:F50,J47:J50,K47:K50)</f>
        <v>#VALUE!</v>
      </c>
      <c r="Y47" s="35" t="e">
        <f>bdpsnrOld(F47:F50,G47:G50,K47:K50,L47:L50)</f>
        <v>#VALUE!</v>
      </c>
    </row>
    <row r="48" spans="1:25" ht="16" customHeight="1" x14ac:dyDescent="0.15">
      <c r="A48" s="1"/>
      <c r="B48" s="70"/>
      <c r="C48" s="32">
        <v>27</v>
      </c>
      <c r="D48" s="12">
        <v>536814</v>
      </c>
      <c r="E48" s="13">
        <v>31.843</v>
      </c>
      <c r="F48" s="13">
        <v>35.155999999999999</v>
      </c>
      <c r="G48" s="14">
        <v>37.22</v>
      </c>
      <c r="H48" s="20"/>
      <c r="I48" s="12">
        <v>538199</v>
      </c>
      <c r="J48" s="13">
        <v>31.84</v>
      </c>
      <c r="K48" s="13">
        <v>35.161000000000001</v>
      </c>
      <c r="L48" s="14">
        <v>37.216999999999999</v>
      </c>
      <c r="M48" s="62"/>
      <c r="N48" s="25"/>
      <c r="O48" s="27"/>
      <c r="P48" s="27"/>
      <c r="Q48" s="25"/>
      <c r="R48" s="27"/>
      <c r="S48" s="27"/>
      <c r="T48" s="43"/>
      <c r="U48" s="44"/>
      <c r="V48" s="44"/>
      <c r="W48" s="43"/>
      <c r="X48" s="44"/>
      <c r="Y48" s="45"/>
    </row>
    <row r="49" spans="1:25" ht="16" customHeight="1" x14ac:dyDescent="0.15">
      <c r="A49" s="1"/>
      <c r="B49" s="70"/>
      <c r="C49" s="32">
        <v>32</v>
      </c>
      <c r="D49" s="12">
        <v>264324</v>
      </c>
      <c r="E49" s="13">
        <v>28.998000000000001</v>
      </c>
      <c r="F49" s="13">
        <v>33.512</v>
      </c>
      <c r="G49" s="14">
        <v>35.777000000000001</v>
      </c>
      <c r="H49" s="20"/>
      <c r="I49" s="12"/>
      <c r="J49" s="13"/>
      <c r="K49" s="13"/>
      <c r="L49" s="14"/>
      <c r="M49" s="62" t="s">
        <v>23</v>
      </c>
      <c r="N49" s="25">
        <f>bdrateextend($D47:$D53,E47:E53,$I47:$I53,J47:J53)</f>
        <v>8.3531644083176815E-3</v>
      </c>
      <c r="O49" s="27">
        <f>bdrateextend($D47:$D53,F47:F53,$I47:$I53,K47:K53)</f>
        <v>4.3843426416059206E-3</v>
      </c>
      <c r="P49" s="27">
        <f>bdrateextend($D47:$D53,G47:G53,$I47:$I53,L47:L53)</f>
        <v>9.3319790051431539E-3</v>
      </c>
      <c r="Q49" s="25"/>
      <c r="R49" s="27"/>
      <c r="S49" s="27"/>
      <c r="T49" s="43">
        <f>bdpsnrextend(D47:D53,E47:E53,I47:I53,J47:J53)</f>
        <v>-3.2342982822018772E-2</v>
      </c>
      <c r="U49" s="44">
        <f>bdpsnrextend(E47:E53,F47:F53,J47:J53,K47:K53)</f>
        <v>1.0668084159279374E-2</v>
      </c>
      <c r="V49" s="44">
        <f>bdpsnrextend(F47:F53,G47:G53,K47:K53,L47:L53)</f>
        <v>-3.4655265128177709E-3</v>
      </c>
      <c r="W49" s="36"/>
      <c r="X49" s="37"/>
      <c r="Y49" s="38"/>
    </row>
    <row r="50" spans="1:25" ht="16" customHeight="1" x14ac:dyDescent="0.15">
      <c r="A50" s="1"/>
      <c r="B50" s="70"/>
      <c r="C50" s="32">
        <v>37</v>
      </c>
      <c r="D50" s="12">
        <v>142545</v>
      </c>
      <c r="E50" s="13">
        <v>26.315000000000001</v>
      </c>
      <c r="F50" s="13">
        <v>32.340000000000003</v>
      </c>
      <c r="G50" s="14">
        <v>34.814</v>
      </c>
      <c r="H50" s="20"/>
      <c r="I50" s="12">
        <v>143055</v>
      </c>
      <c r="J50" s="13">
        <v>26.327000000000002</v>
      </c>
      <c r="K50" s="13">
        <v>32.322000000000003</v>
      </c>
      <c r="L50" s="14">
        <v>34.774000000000001</v>
      </c>
      <c r="M50" s="62"/>
      <c r="N50" s="25"/>
      <c r="O50" s="27">
        <f>bdrateextend($D47:$D53,F47:F53,$I47:$I53,K47:K53)</f>
        <v>4.3843426416059206E-3</v>
      </c>
      <c r="P50" s="27"/>
      <c r="Q50" s="64" t="s">
        <v>27</v>
      </c>
      <c r="R50" s="65"/>
      <c r="S50" s="66"/>
      <c r="T50" s="43"/>
      <c r="U50" s="44"/>
      <c r="V50" s="44"/>
      <c r="W50" s="36"/>
      <c r="X50" s="37"/>
      <c r="Y50" s="38"/>
    </row>
    <row r="51" spans="1:25" ht="16" customHeight="1" x14ac:dyDescent="0.15">
      <c r="A51" s="1"/>
      <c r="B51" s="70"/>
      <c r="C51" s="32">
        <v>39</v>
      </c>
      <c r="D51" s="12">
        <v>71272.5</v>
      </c>
      <c r="E51" s="13">
        <v>23.815000000000001</v>
      </c>
      <c r="F51" s="13">
        <v>31.340000000000003</v>
      </c>
      <c r="G51" s="14">
        <v>33.814</v>
      </c>
      <c r="H51" s="20"/>
      <c r="I51" s="12">
        <v>71527.5</v>
      </c>
      <c r="J51" s="13">
        <v>23.827000000000002</v>
      </c>
      <c r="K51" s="13">
        <v>31.322000000000003</v>
      </c>
      <c r="L51" s="14">
        <v>33.774000000000001</v>
      </c>
      <c r="M51" s="62" t="s">
        <v>24</v>
      </c>
      <c r="N51" s="25">
        <f>bdrateextend($D47:$D53,E47:E53,$I47:$I53,J47:J53,"BothAlways")</f>
        <v>8.8287529440582713E-3</v>
      </c>
      <c r="O51" s="27">
        <f>bdrateextend($D47:$D53,F47:F53,$I47:$I53,K47:K53,"BothAlways")</f>
        <v>4.5814784988136292E-3</v>
      </c>
      <c r="P51" s="27">
        <f>bdrateextend($D47:$D53,G47:G53,$I47:$I53,L47:L53,"BothAlways")</f>
        <v>9.5115761480748517E-3</v>
      </c>
      <c r="Q51" s="25">
        <f>bdrateextend($D47:$D53,E47:E53,$I47:$I53,J47:J53,"Both")</f>
        <v>8.3531644083176815E-3</v>
      </c>
      <c r="R51" s="27">
        <f>bdrateextend($D47:$D53,F47:F53,$I47:$I53,K47:K53,"Both")</f>
        <v>4.3843426416059206E-3</v>
      </c>
      <c r="S51" s="27">
        <f>bdrateextend($D47:$D53,G47:G53,$I47:$I53,L47:L53,"Both")</f>
        <v>9.3319790051431539E-3</v>
      </c>
      <c r="T51" s="43">
        <f>bdpsnrextend($D47:$D53,E47:E53,$I47:$I53,J47:J53,"BothAlways")</f>
        <v>-3.3987327776475396E-2</v>
      </c>
      <c r="U51" s="44">
        <f>bdpsnrextend($D47:$D53,F47:F53,$I47:$I53,K47:K53,"BothAlways")</f>
        <v>-5.0188897489627264E-3</v>
      </c>
      <c r="V51" s="44">
        <f>bdpsnrextend($D47:$D53,G47:G53,$I47:$I53,L47:L53,"BothAlways")</f>
        <v>-1.3847408272895573E-2</v>
      </c>
      <c r="W51" s="43">
        <f>bdpsnrextend($D47:$D53,E47:E53,$I47:$I53,J47:J53,"Both")</f>
        <v>-3.2342982822018772E-2</v>
      </c>
      <c r="X51" s="44">
        <f>bdpsnrextend($D47:$D53,F47:F53,$I47:$I53,K47:K53,"Both")</f>
        <v>-6.387478967864289E-3</v>
      </c>
      <c r="Y51" s="45">
        <f>bdpsnrextend($D47:$D53,G47:G53,$I47:$I53,L47:L53,"Both")</f>
        <v>-1.5011657507357697E-2</v>
      </c>
    </row>
    <row r="52" spans="1:25" ht="16" customHeight="1" x14ac:dyDescent="0.15">
      <c r="A52" s="1"/>
      <c r="B52" s="70"/>
      <c r="C52" s="32">
        <v>41</v>
      </c>
      <c r="D52" s="12">
        <v>35636.25</v>
      </c>
      <c r="E52" s="13">
        <v>21.315000000000001</v>
      </c>
      <c r="F52" s="13">
        <v>30.340000000000003</v>
      </c>
      <c r="G52" s="14">
        <v>32.814</v>
      </c>
      <c r="H52" s="20"/>
      <c r="I52" s="12">
        <v>35763.75</v>
      </c>
      <c r="J52" s="13">
        <v>21.327000000000002</v>
      </c>
      <c r="K52" s="13">
        <v>30.322000000000003</v>
      </c>
      <c r="L52" s="14">
        <v>32.774000000000001</v>
      </c>
      <c r="M52" s="62"/>
      <c r="N52" s="25"/>
      <c r="O52" s="27"/>
      <c r="P52" s="27"/>
      <c r="Q52" s="25"/>
      <c r="R52" s="27"/>
      <c r="S52" s="27"/>
      <c r="T52" s="43"/>
      <c r="U52" s="44"/>
      <c r="V52" s="44"/>
      <c r="W52" s="43"/>
      <c r="X52" s="44"/>
      <c r="Y52" s="45"/>
    </row>
    <row r="53" spans="1:25" ht="17" customHeight="1" thickBot="1" x14ac:dyDescent="0.2">
      <c r="A53" s="1"/>
      <c r="B53" s="71"/>
      <c r="C53" s="68">
        <v>43</v>
      </c>
      <c r="D53" s="17">
        <v>17818.125</v>
      </c>
      <c r="E53" s="18">
        <v>18.815000000000001</v>
      </c>
      <c r="F53" s="18">
        <v>29.340000000000003</v>
      </c>
      <c r="G53" s="19">
        <v>31.814</v>
      </c>
      <c r="H53" s="20"/>
      <c r="I53" s="17">
        <v>17881.875</v>
      </c>
      <c r="J53" s="18">
        <v>18.827000000000002</v>
      </c>
      <c r="K53" s="18">
        <v>29.322000000000003</v>
      </c>
      <c r="L53" s="19">
        <v>31.774000000000001</v>
      </c>
      <c r="M53" s="62" t="s">
        <v>25</v>
      </c>
      <c r="N53" s="46">
        <f>bdrateextend($D47:$D53,E47:E53,$I47:$I53,J47:J53,"BothAlways",TRUE)</f>
        <v>0.99925857275254859</v>
      </c>
      <c r="O53" s="42">
        <f>bdrateextend($D47:$D53,F47:F53,$I47:$I53,K47:K53,"BothAlways",TRUE)</f>
        <v>-0.99945392491467611</v>
      </c>
      <c r="P53" s="42">
        <f>bdrateextend($D47:$D53,G47:G53,$I47:$I53,L47:L53,"BothAlways",TRUE)</f>
        <v>-0.99940599940599872</v>
      </c>
      <c r="Q53" s="46"/>
      <c r="R53" s="42"/>
      <c r="S53" s="42"/>
      <c r="T53" s="47">
        <f>bdpsnrextend($D47:$D53,E47:E53,$I47:$I53,J47:J53,"BothAlways",TRUE)</f>
        <v>0.99913641199648007</v>
      </c>
      <c r="U53" s="48">
        <f>bdpsnrextend($D47:$D53,F47:F53,$I47:$I53,K47:K53,"BothAlways",TRUE)</f>
        <v>0.99913641199648007</v>
      </c>
      <c r="V53" s="48">
        <f>bdpsnrextend($D47:$D53,G47:G53,$I47:$I53,L47:L53,"BothAlways",TRUE)</f>
        <v>0.99913641199648007</v>
      </c>
      <c r="W53" s="39"/>
      <c r="X53" s="40"/>
      <c r="Y53" s="41"/>
    </row>
    <row r="54" spans="1:25" x14ac:dyDescent="0.15">
      <c r="A54" s="1"/>
      <c r="M54" s="15"/>
    </row>
    <row r="55" spans="1:25" x14ac:dyDescent="0.15">
      <c r="A55" s="1"/>
      <c r="M55" s="15"/>
    </row>
    <row r="56" spans="1:25" ht="13" thickBot="1" x14ac:dyDescent="0.2">
      <c r="A56" s="1"/>
      <c r="M56" s="15"/>
    </row>
    <row r="57" spans="1:25" ht="12" customHeight="1" x14ac:dyDescent="0.15">
      <c r="A57" s="1"/>
      <c r="B57" s="61" t="s">
        <v>29</v>
      </c>
      <c r="C57" s="30">
        <v>22</v>
      </c>
      <c r="D57" s="8">
        <v>1114087</v>
      </c>
      <c r="E57" s="9">
        <v>35</v>
      </c>
      <c r="F57" s="9">
        <v>36.664999999999999</v>
      </c>
      <c r="G57" s="10">
        <v>38.548000000000002</v>
      </c>
      <c r="H57" s="20"/>
      <c r="I57" s="8">
        <v>1115327</v>
      </c>
      <c r="J57" s="9">
        <v>35.003</v>
      </c>
      <c r="K57" s="9">
        <v>36.661000000000001</v>
      </c>
      <c r="L57" s="10">
        <v>38.543999999999997</v>
      </c>
      <c r="M57" s="62" t="s">
        <v>22</v>
      </c>
      <c r="N57" s="24">
        <f>bdrate($D57:$D60,E57:E60,$I57:$I60,J57:J60)</f>
        <v>1.744754399552062E-2</v>
      </c>
      <c r="O57" s="26">
        <f>bdrate($D57:$D60,F57:F60,$I57:$I60,K57:K60)</f>
        <v>-5.0945952189953569E-3</v>
      </c>
      <c r="P57" s="26">
        <f>bdrate($D57:$D60,G57:G60,$I57:$I60,L57:L60)</f>
        <v>-1.1189384996301399E-2</v>
      </c>
      <c r="Q57" s="24">
        <f>bdrateOld($D57:$D60,E57:E60,$I57:$I60,J57:J60)</f>
        <v>1.6128999791655163E-2</v>
      </c>
      <c r="R57" s="26">
        <f>bdrateOld($D57:$D60,F57:F60,$I57:$I60,K57:K60)</f>
        <v>-3.8700539917695398E-3</v>
      </c>
      <c r="S57" s="26">
        <f>bdrateOld($D57:$D60,G57:G60,$I57:$I60,L57:L60)</f>
        <v>-1.0552091310746081E-2</v>
      </c>
      <c r="T57" s="33">
        <f>bdpsnr(D57:D60,E57:E60,I57:I60,J57:J60)</f>
        <v>-7.2624135617804716E-2</v>
      </c>
      <c r="U57" s="34">
        <f>bdpsnr(E57:E60,F57:F60,J57:J60,K57:K60)</f>
        <v>5.5833567649959913E-2</v>
      </c>
      <c r="V57" s="34">
        <f>bdpsnr(F57:F60,G57:G60,K57:K60,L57:L60)</f>
        <v>1.2906703658525712E-2</v>
      </c>
      <c r="W57" s="33">
        <f>bdpsnrOld(D57:D60,E57:E60,I57:I60,J57:J60)</f>
        <v>-6.5166813753708655E-2</v>
      </c>
      <c r="X57" s="34">
        <f>bdpsnrOld(E57:E60,F57:F60,J57:J60,K57:K60)</f>
        <v>7.0537715947728494E-2</v>
      </c>
      <c r="Y57" s="35">
        <f>bdpsnrOld(F57:F60,G57:G60,K57:K60,L57:L60)</f>
        <v>8.2430916468851471E-3</v>
      </c>
    </row>
    <row r="58" spans="1:25" ht="16" customHeight="1" x14ac:dyDescent="0.15">
      <c r="A58" s="1"/>
      <c r="B58" s="63"/>
      <c r="C58" s="32">
        <v>27</v>
      </c>
      <c r="D58" s="12">
        <v>536814</v>
      </c>
      <c r="E58" s="13">
        <v>31.843</v>
      </c>
      <c r="F58" s="13">
        <v>35.155999999999999</v>
      </c>
      <c r="G58" s="14">
        <v>37.22</v>
      </c>
      <c r="H58" s="20"/>
      <c r="I58" s="12">
        <v>538199</v>
      </c>
      <c r="J58" s="13">
        <v>31.84</v>
      </c>
      <c r="K58" s="13">
        <v>35.161000000000001</v>
      </c>
      <c r="L58" s="14">
        <v>37.216999999999999</v>
      </c>
      <c r="M58" s="62"/>
      <c r="N58" s="25"/>
      <c r="O58" s="27"/>
      <c r="P58" s="27"/>
      <c r="Q58" s="25"/>
      <c r="R58" s="27"/>
      <c r="S58" s="27"/>
      <c r="T58" s="43"/>
      <c r="U58" s="44"/>
      <c r="V58" s="44"/>
      <c r="W58" s="43"/>
      <c r="X58" s="44"/>
      <c r="Y58" s="45"/>
    </row>
    <row r="59" spans="1:25" ht="16" customHeight="1" x14ac:dyDescent="0.15">
      <c r="A59" s="1"/>
      <c r="B59" s="63"/>
      <c r="C59" s="32">
        <v>32</v>
      </c>
      <c r="D59" s="12">
        <v>264324</v>
      </c>
      <c r="E59" s="13">
        <v>28.998000000000001</v>
      </c>
      <c r="F59" s="13">
        <v>33.512</v>
      </c>
      <c r="G59" s="14">
        <v>35.777000000000001</v>
      </c>
      <c r="H59" s="20"/>
      <c r="I59" s="12">
        <v>143055</v>
      </c>
      <c r="J59" s="13">
        <v>26.327000000000002</v>
      </c>
      <c r="K59" s="13">
        <v>32.322000000000003</v>
      </c>
      <c r="L59" s="14">
        <v>34.774000000000001</v>
      </c>
      <c r="M59" s="62" t="s">
        <v>23</v>
      </c>
      <c r="N59" s="25">
        <f>bdrateextend($D57:$D63,E57:E63,$I57:$I63,J57:J63)</f>
        <v>8.3531644083176815E-3</v>
      </c>
      <c r="O59" s="27">
        <f>bdrateextend($D57:$D63,F57:F63,$I57:$I63,K57:K63)</f>
        <v>4.3843426416059206E-3</v>
      </c>
      <c r="P59" s="27">
        <f>bdrateextend($D57:$D63,G57:G63,$I57:$I63,L57:L63)</f>
        <v>9.3319790051431539E-3</v>
      </c>
      <c r="Q59" s="25"/>
      <c r="R59" s="27"/>
      <c r="S59" s="27"/>
      <c r="T59" s="43">
        <f>bdpsnrextend(D57:D63,E57:E63,I57:I63,J57:J63)</f>
        <v>-3.2342982822018772E-2</v>
      </c>
      <c r="U59" s="44">
        <f>bdpsnrextend(E57:E63,F57:F63,J57:J63,K57:K63)</f>
        <v>1.0668084159279374E-2</v>
      </c>
      <c r="V59" s="44">
        <f>bdpsnrextend(F57:F63,G57:G63,K57:K63,L57:L63)</f>
        <v>-3.4655265128177709E-3</v>
      </c>
      <c r="W59" s="36"/>
      <c r="X59" s="37"/>
      <c r="Y59" s="38"/>
    </row>
    <row r="60" spans="1:25" ht="16" customHeight="1" x14ac:dyDescent="0.15">
      <c r="A60" s="1"/>
      <c r="B60" s="63"/>
      <c r="C60" s="32">
        <v>37</v>
      </c>
      <c r="D60" s="12">
        <v>142545</v>
      </c>
      <c r="E60" s="13">
        <v>26.315000000000001</v>
      </c>
      <c r="F60" s="13">
        <v>32.340000000000003</v>
      </c>
      <c r="G60" s="14">
        <v>34.814</v>
      </c>
      <c r="H60" s="20"/>
      <c r="I60" s="12">
        <v>35763.75</v>
      </c>
      <c r="J60" s="13">
        <v>21.327000000000002</v>
      </c>
      <c r="K60" s="13">
        <v>30.322000000000003</v>
      </c>
      <c r="L60" s="14">
        <v>32.774000000000001</v>
      </c>
      <c r="M60" s="62"/>
      <c r="N60" s="25"/>
      <c r="O60" s="27">
        <f>bdrateextend($D57:$D63,F57:F63,$I57:$I63,K57:K63)</f>
        <v>4.3843426416059206E-3</v>
      </c>
      <c r="P60" s="27"/>
      <c r="Q60" s="64" t="s">
        <v>27</v>
      </c>
      <c r="R60" s="65"/>
      <c r="S60" s="66"/>
      <c r="T60" s="43"/>
      <c r="U60" s="44"/>
      <c r="V60" s="44"/>
      <c r="W60" s="36"/>
      <c r="X60" s="37"/>
      <c r="Y60" s="38"/>
    </row>
    <row r="61" spans="1:25" ht="16" customHeight="1" x14ac:dyDescent="0.15">
      <c r="A61" s="1"/>
      <c r="B61" s="63"/>
      <c r="C61" s="32">
        <v>39</v>
      </c>
      <c r="D61" s="12">
        <v>71272.5</v>
      </c>
      <c r="E61" s="13">
        <v>23.815000000000001</v>
      </c>
      <c r="F61" s="13">
        <v>31.340000000000003</v>
      </c>
      <c r="G61" s="14">
        <v>33.814</v>
      </c>
      <c r="H61" s="20"/>
      <c r="I61" s="12">
        <v>71527.5</v>
      </c>
      <c r="J61" s="13">
        <v>23.827000000000002</v>
      </c>
      <c r="K61" s="13">
        <v>31.322000000000003</v>
      </c>
      <c r="L61" s="14">
        <v>33.774000000000001</v>
      </c>
      <c r="M61" s="62" t="s">
        <v>24</v>
      </c>
      <c r="N61" s="25">
        <f>bdrateextend($D57:$D63,E57:E63,$I57:$I63,J57:J63,"BothAlways")</f>
        <v>8.8287529440582713E-3</v>
      </c>
      <c r="O61" s="27">
        <f>bdrateextend($D57:$D63,F57:F63,$I57:$I63,K57:K63,"BothAlways")</f>
        <v>4.5814784988136292E-3</v>
      </c>
      <c r="P61" s="27">
        <f>bdrateextend($D57:$D63,G57:G63,$I57:$I63,L57:L63,"BothAlways")</f>
        <v>9.5115761480748517E-3</v>
      </c>
      <c r="Q61" s="25">
        <f>bdrateextend($D57:$D63,E57:E63,$I57:$I63,J57:J63,"Both")</f>
        <v>8.3531644083176815E-3</v>
      </c>
      <c r="R61" s="27">
        <f>bdrateextend($D57:$D63,F57:F63,$I57:$I63,K57:K63,"Both")</f>
        <v>4.3843426416059206E-3</v>
      </c>
      <c r="S61" s="27">
        <f>bdrateextend($D57:$D63,G57:G63,$I57:$I63,L57:L63,"Both")</f>
        <v>9.3319790051431539E-3</v>
      </c>
      <c r="T61" s="43">
        <f>bdpsnrextend($D57:$D63,E57:E63,$I57:$I63,J57:J63,"BothAlways")</f>
        <v>-3.3987327776475396E-2</v>
      </c>
      <c r="U61" s="44">
        <f>bdpsnrextend($D57:$D63,F57:F63,$I57:$I63,K57:K63,"BothAlways")</f>
        <v>-5.0188897489627264E-3</v>
      </c>
      <c r="V61" s="44">
        <f>bdpsnrextend($D57:$D63,G57:G63,$I57:$I63,L57:L63,"BothAlways")</f>
        <v>-1.3847408272895573E-2</v>
      </c>
      <c r="W61" s="43">
        <f>bdpsnrextend($D57:$D63,E57:E63,$I57:$I63,J57:J63,"Both")</f>
        <v>-3.2342982822018772E-2</v>
      </c>
      <c r="X61" s="44">
        <f>bdpsnrextend($D57:$D63,F57:F63,$I57:$I63,K57:K63,"Both")</f>
        <v>-6.387478967864289E-3</v>
      </c>
      <c r="Y61" s="45">
        <f>bdpsnrextend($D57:$D63,G57:G63,$I57:$I63,L57:L63,"Both")</f>
        <v>-1.5011657507357697E-2</v>
      </c>
    </row>
    <row r="62" spans="1:25" ht="16" customHeight="1" x14ac:dyDescent="0.15">
      <c r="A62" s="1"/>
      <c r="B62" s="63"/>
      <c r="C62" s="32">
        <v>41</v>
      </c>
      <c r="D62" s="12">
        <v>35636.25</v>
      </c>
      <c r="E62" s="13">
        <v>21.315000000000001</v>
      </c>
      <c r="F62" s="13">
        <v>30.340000000000003</v>
      </c>
      <c r="G62" s="14">
        <v>32.814</v>
      </c>
      <c r="H62" s="20"/>
      <c r="I62" s="12">
        <v>143055</v>
      </c>
      <c r="J62" s="13">
        <v>26.327000000000002</v>
      </c>
      <c r="K62" s="13">
        <v>32.322000000000003</v>
      </c>
      <c r="L62" s="14">
        <v>34.774000000000001</v>
      </c>
      <c r="M62" s="62"/>
      <c r="N62" s="25"/>
      <c r="O62" s="27"/>
      <c r="P62" s="27"/>
      <c r="Q62" s="25"/>
      <c r="R62" s="27"/>
      <c r="S62" s="27"/>
      <c r="T62" s="43"/>
      <c r="U62" s="44"/>
      <c r="V62" s="44"/>
      <c r="W62" s="43"/>
      <c r="X62" s="44"/>
      <c r="Y62" s="45"/>
    </row>
    <row r="63" spans="1:25" ht="17" customHeight="1" thickBot="1" x14ac:dyDescent="0.2">
      <c r="A63" s="1"/>
      <c r="B63" s="67"/>
      <c r="C63" s="68">
        <v>43</v>
      </c>
      <c r="D63" s="17">
        <v>17818.125</v>
      </c>
      <c r="E63" s="18">
        <v>18.815000000000001</v>
      </c>
      <c r="F63" s="18">
        <v>29.340000000000003</v>
      </c>
      <c r="G63" s="19">
        <v>31.814</v>
      </c>
      <c r="H63" s="20"/>
      <c r="I63" s="17">
        <v>17881.875</v>
      </c>
      <c r="J63" s="18">
        <v>18.827000000000002</v>
      </c>
      <c r="K63" s="18">
        <v>29.322000000000003</v>
      </c>
      <c r="L63" s="19">
        <v>31.774000000000001</v>
      </c>
      <c r="M63" s="62" t="s">
        <v>25</v>
      </c>
      <c r="N63" s="46">
        <f>bdrateextend($D57:$D63,E57:E63,$I57:$I63,J57:J63,"BothAlways",TRUE)</f>
        <v>0.99925857275254859</v>
      </c>
      <c r="O63" s="42">
        <f>bdrateextend($D57:$D63,F57:F63,$I57:$I63,K57:K63,"BothAlways",TRUE)</f>
        <v>-0.99945392491467611</v>
      </c>
      <c r="P63" s="42">
        <f>bdrateextend($D57:$D63,G57:G63,$I57:$I63,L57:L63,"BothAlways",TRUE)</f>
        <v>-0.99940599940599872</v>
      </c>
      <c r="Q63" s="46"/>
      <c r="R63" s="42"/>
      <c r="S63" s="42"/>
      <c r="T63" s="47">
        <f>bdpsnrextend($D57:$D63,E57:E63,$I57:$I63,J57:J63,"BothAlways",TRUE)</f>
        <v>0.99913641199648007</v>
      </c>
      <c r="U63" s="48">
        <f>bdpsnrextend($D57:$D63,F57:F63,$I57:$I63,K57:K63,"BothAlways",TRUE)</f>
        <v>0.99913641199648007</v>
      </c>
      <c r="V63" s="48">
        <f>bdpsnrextend($D57:$D63,G57:G63,$I57:$I63,L57:L63,"BothAlways",TRUE)</f>
        <v>0.99913641199648007</v>
      </c>
      <c r="W63" s="39"/>
      <c r="X63" s="40"/>
      <c r="Y63" s="41"/>
    </row>
    <row r="64" spans="1:25" x14ac:dyDescent="0.15">
      <c r="A64" s="1"/>
      <c r="M64" s="15"/>
    </row>
    <row r="65" spans="1:25" x14ac:dyDescent="0.15">
      <c r="A65" s="1"/>
      <c r="M65" s="15"/>
    </row>
    <row r="66" spans="1:25" ht="13" thickBot="1" x14ac:dyDescent="0.2">
      <c r="A66" s="1"/>
      <c r="M66" s="15"/>
    </row>
    <row r="67" spans="1:25" ht="12" customHeight="1" x14ac:dyDescent="0.15">
      <c r="A67" s="1"/>
      <c r="B67" s="61" t="s">
        <v>30</v>
      </c>
      <c r="C67" s="30">
        <v>22</v>
      </c>
      <c r="D67" s="8">
        <v>1114087</v>
      </c>
      <c r="E67" s="9">
        <v>35</v>
      </c>
      <c r="F67" s="9">
        <v>36.664999999999999</v>
      </c>
      <c r="G67" s="10">
        <v>38.548000000000002</v>
      </c>
      <c r="H67" s="20"/>
      <c r="I67" s="8">
        <v>1115327</v>
      </c>
      <c r="J67" s="9">
        <v>35.003</v>
      </c>
      <c r="K67" s="9">
        <v>36.661000000000001</v>
      </c>
      <c r="L67" s="10">
        <v>38.543999999999997</v>
      </c>
      <c r="M67" s="62" t="s">
        <v>22</v>
      </c>
      <c r="N67" s="24">
        <f>bdrate($D67:$D70,E67:E70,$I67:$I70,J67:J70)</f>
        <v>-1</v>
      </c>
      <c r="O67" s="26">
        <f>bdrate($D67:$D70,F67:F70,$I67:$I70,K67:K70)</f>
        <v>-1</v>
      </c>
      <c r="P67" s="26">
        <f>bdrate($D67:$D70,G67:G70,$I67:$I70,L67:L70)</f>
        <v>-1</v>
      </c>
      <c r="Q67" s="24" t="e">
        <f>bdrateOld($D67:$D70,E67:E70,$I67:$I70,J67:J70)</f>
        <v>#VALUE!</v>
      </c>
      <c r="R67" s="26" t="e">
        <f>bdrateOld($D67:$D70,F67:F70,$I67:$I70,K67:K70)</f>
        <v>#VALUE!</v>
      </c>
      <c r="S67" s="26" t="e">
        <f>bdrateOld($D67:$D70,G67:G70,$I67:$I70,L67:L70)</f>
        <v>#VALUE!</v>
      </c>
      <c r="T67" s="33" t="e">
        <f>bdpsnr(D67:D70,E67:E70,I67:I70,J67:J70)</f>
        <v>#NUM!</v>
      </c>
      <c r="U67" s="34" t="e">
        <f>bdpsnr(E67:E70,F67:F70,J67:J70,K67:K70)</f>
        <v>#NUM!</v>
      </c>
      <c r="V67" s="34" t="e">
        <f>bdpsnr(F67:F70,G67:G70,K67:K70,L67:L70)</f>
        <v>#NUM!</v>
      </c>
      <c r="W67" s="33" t="e">
        <f>bdpsnrOld(D67:D70,E67:E70,I67:I70,J67:J70)</f>
        <v>#VALUE!</v>
      </c>
      <c r="X67" s="34" t="e">
        <f>bdpsnrOld(E67:E70,F67:F70,J67:J70,K67:K70)</f>
        <v>#VALUE!</v>
      </c>
      <c r="Y67" s="35" t="e">
        <f>bdpsnrOld(F67:F70,G67:G70,K67:K70,L67:L70)</f>
        <v>#VALUE!</v>
      </c>
    </row>
    <row r="68" spans="1:25" ht="16" customHeight="1" x14ac:dyDescent="0.15">
      <c r="A68" s="1"/>
      <c r="B68" s="63"/>
      <c r="C68" s="32">
        <v>27</v>
      </c>
      <c r="D68" s="12">
        <v>536814</v>
      </c>
      <c r="E68" s="13">
        <v>31.843</v>
      </c>
      <c r="F68" s="13">
        <v>35.155999999999999</v>
      </c>
      <c r="G68" s="14">
        <v>37.22</v>
      </c>
      <c r="H68" s="20"/>
      <c r="I68" s="12">
        <v>538199</v>
      </c>
      <c r="J68" s="13">
        <v>31.84</v>
      </c>
      <c r="K68" s="13">
        <v>35.161000000000001</v>
      </c>
      <c r="L68" s="14">
        <v>37.216999999999999</v>
      </c>
      <c r="M68" s="62"/>
      <c r="N68" s="25"/>
      <c r="O68" s="27"/>
      <c r="P68" s="27"/>
      <c r="Q68" s="25"/>
      <c r="R68" s="27"/>
      <c r="S68" s="27"/>
      <c r="T68" s="43"/>
      <c r="U68" s="44"/>
      <c r="V68" s="44"/>
      <c r="W68" s="43"/>
      <c r="X68" s="44"/>
      <c r="Y68" s="45"/>
    </row>
    <row r="69" spans="1:25" ht="16" customHeight="1" x14ac:dyDescent="0.15">
      <c r="A69" s="1"/>
      <c r="B69" s="63"/>
      <c r="C69" s="32">
        <v>32</v>
      </c>
      <c r="D69" s="12">
        <v>264324</v>
      </c>
      <c r="E69" s="13">
        <v>28.998000000000001</v>
      </c>
      <c r="F69" s="13">
        <v>33.512</v>
      </c>
      <c r="G69" s="14">
        <v>35.777000000000001</v>
      </c>
      <c r="H69" s="20"/>
      <c r="I69" s="12">
        <v>143055</v>
      </c>
      <c r="J69" s="13">
        <v>26.327000000000002</v>
      </c>
      <c r="K69" s="13">
        <v>32.322000000000003</v>
      </c>
      <c r="L69" s="14">
        <v>34.774000000000001</v>
      </c>
      <c r="M69" s="62" t="s">
        <v>23</v>
      </c>
      <c r="N69" s="25">
        <f>bdrateextend($D67:$D73,E67:E73,$I67:$I73,J67:J73)</f>
        <v>9.9980494125309072E-3</v>
      </c>
      <c r="O69" s="27">
        <f>bdrateextend($D67:$D73,F67:F73,$I67:$I73,K67:K73)</f>
        <v>7.878375335683474E-3</v>
      </c>
      <c r="P69" s="27">
        <f>bdrateextend($D67:$D73,G67:G73,$I67:$I73,L67:L73)</f>
        <v>1.1912471060342877E-2</v>
      </c>
      <c r="Q69" s="25"/>
      <c r="R69" s="27"/>
      <c r="S69" s="27"/>
      <c r="T69" s="43">
        <f>bdpsnrextend(D67:D73,E67:E73,I67:I73,J67:J73)</f>
        <v>-3.9093787496181802E-2</v>
      </c>
      <c r="U69" s="44">
        <f>bdpsnrextend(E67:E73,F67:F73,J67:J73,K67:K73)</f>
        <v>5.4536743168554919E-3</v>
      </c>
      <c r="V69" s="44">
        <f>bdpsnrextend(F67:F73,G67:G73,K67:K73,L67:L73)</f>
        <v>-1.7204347595621808E-3</v>
      </c>
      <c r="W69" s="36"/>
      <c r="X69" s="37"/>
      <c r="Y69" s="38"/>
    </row>
    <row r="70" spans="1:25" ht="16" customHeight="1" x14ac:dyDescent="0.15">
      <c r="A70" s="1"/>
      <c r="B70" s="63"/>
      <c r="C70" s="32">
        <v>37</v>
      </c>
      <c r="D70" s="12">
        <v>142545</v>
      </c>
      <c r="E70" s="13">
        <v>26.315000000000001</v>
      </c>
      <c r="F70" s="13">
        <v>32.340000000000003</v>
      </c>
      <c r="G70" s="14">
        <v>34.814</v>
      </c>
      <c r="H70" s="20"/>
      <c r="I70" s="12">
        <v>143055</v>
      </c>
      <c r="J70" s="13">
        <v>26.327000000000002</v>
      </c>
      <c r="K70" s="13">
        <v>32.322000000000003</v>
      </c>
      <c r="L70" s="14">
        <v>34.774000000000001</v>
      </c>
      <c r="M70" s="62"/>
      <c r="N70" s="25"/>
      <c r="O70" s="27">
        <f>bdrateextend($D67:$D73,F67:F73,$I67:$I73,K67:K73)</f>
        <v>7.878375335683474E-3</v>
      </c>
      <c r="P70" s="27"/>
      <c r="Q70" s="64" t="s">
        <v>27</v>
      </c>
      <c r="R70" s="65"/>
      <c r="S70" s="66"/>
      <c r="T70" s="43"/>
      <c r="U70" s="44"/>
      <c r="V70" s="44"/>
      <c r="W70" s="36"/>
      <c r="X70" s="37"/>
      <c r="Y70" s="38"/>
    </row>
    <row r="71" spans="1:25" ht="16" customHeight="1" x14ac:dyDescent="0.15">
      <c r="A71" s="1"/>
      <c r="B71" s="63"/>
      <c r="C71" s="32">
        <v>39</v>
      </c>
      <c r="D71" s="12">
        <v>71272.5</v>
      </c>
      <c r="E71" s="13">
        <v>23.815000000000001</v>
      </c>
      <c r="F71" s="13">
        <v>31.340000000000003</v>
      </c>
      <c r="G71" s="14">
        <v>33.814</v>
      </c>
      <c r="H71" s="20"/>
      <c r="I71" s="12"/>
      <c r="J71" s="13"/>
      <c r="K71" s="13"/>
      <c r="L71" s="14"/>
      <c r="M71" s="62" t="s">
        <v>24</v>
      </c>
      <c r="N71" s="25">
        <f>bdrateextend($D67:$D73,E67:E73,$I67:$I73,J67:J73,"BothAlways")</f>
        <v>1.0472887624794591E-2</v>
      </c>
      <c r="O71" s="27">
        <f>bdrateextend($D67:$D73,F67:F73,$I67:$I73,K67:K73,"BothAlways")</f>
        <v>8.0657084952575619E-3</v>
      </c>
      <c r="P71" s="27">
        <f>bdrateextend($D67:$D73,G67:G73,$I67:$I73,L67:L73,"BothAlways")</f>
        <v>1.2075741722960887E-2</v>
      </c>
      <c r="Q71" s="25">
        <f>bdrateextend($D67:$D73,E67:E73,$I67:$I73,J67:J73,"Both")</f>
        <v>9.9980494125309072E-3</v>
      </c>
      <c r="R71" s="27">
        <f>bdrateextend($D67:$D73,F67:F73,$I67:$I73,K67:K73,"Both")</f>
        <v>7.878375335683474E-3</v>
      </c>
      <c r="S71" s="27">
        <f>bdrateextend($D67:$D73,G67:G73,$I67:$I73,L67:L73,"Both")</f>
        <v>1.1912471060342877E-2</v>
      </c>
      <c r="T71" s="43">
        <f>bdpsnrextend($D67:$D73,E67:E73,$I67:$I73,J67:J73,"BothAlways")</f>
        <v>-4.0730488739622546E-2</v>
      </c>
      <c r="U71" s="44">
        <f>bdpsnrextend($D67:$D73,F67:F73,$I67:$I73,K67:K73,"BothAlways")</f>
        <v>-1.2320963550706724E-2</v>
      </c>
      <c r="V71" s="44">
        <f>bdpsnrextend($D67:$D73,G67:G73,$I67:$I73,L67:L73,"BothAlways")</f>
        <v>-1.8441713967959107E-2</v>
      </c>
      <c r="W71" s="43">
        <f>bdpsnrextend($D67:$D73,E67:E73,$I67:$I73,J67:J73,"Both")</f>
        <v>-3.9093787496181802E-2</v>
      </c>
      <c r="X71" s="44">
        <f>bdpsnrextend($D67:$D73,F67:F73,$I67:$I73,K67:K73,"Both")</f>
        <v>-1.3697830036343174E-2</v>
      </c>
      <c r="Y71" s="45">
        <f>bdpsnrextend($D67:$D73,G67:G73,$I67:$I73,L67:L73,"Both")</f>
        <v>-1.9611171078256526E-2</v>
      </c>
    </row>
    <row r="72" spans="1:25" ht="16" customHeight="1" x14ac:dyDescent="0.15">
      <c r="A72" s="1"/>
      <c r="B72" s="63"/>
      <c r="C72" s="32">
        <v>41</v>
      </c>
      <c r="D72" s="12">
        <v>35636.25</v>
      </c>
      <c r="E72" s="13">
        <v>21.315000000000001</v>
      </c>
      <c r="F72" s="13">
        <v>30.340000000000003</v>
      </c>
      <c r="G72" s="14">
        <v>32.814</v>
      </c>
      <c r="H72" s="20"/>
      <c r="I72" s="12">
        <v>35763.75</v>
      </c>
      <c r="J72" s="13">
        <v>21.327000000000002</v>
      </c>
      <c r="K72" s="13">
        <v>30.322000000000003</v>
      </c>
      <c r="L72" s="14">
        <v>32.774000000000001</v>
      </c>
      <c r="M72" s="62"/>
      <c r="N72" s="25"/>
      <c r="O72" s="27"/>
      <c r="P72" s="27"/>
      <c r="Q72" s="25"/>
      <c r="R72" s="27"/>
      <c r="S72" s="27"/>
      <c r="T72" s="43"/>
      <c r="U72" s="44"/>
      <c r="V72" s="44"/>
      <c r="W72" s="43"/>
      <c r="X72" s="44"/>
      <c r="Y72" s="45"/>
    </row>
    <row r="73" spans="1:25" ht="17" customHeight="1" thickBot="1" x14ac:dyDescent="0.2">
      <c r="A73" s="1"/>
      <c r="B73" s="67"/>
      <c r="C73" s="68">
        <v>43</v>
      </c>
      <c r="D73" s="17">
        <v>17818.125</v>
      </c>
      <c r="E73" s="18">
        <v>18.815000000000001</v>
      </c>
      <c r="F73" s="18">
        <v>29.340000000000003</v>
      </c>
      <c r="G73" s="19">
        <v>31.814</v>
      </c>
      <c r="H73" s="20"/>
      <c r="I73" s="17">
        <v>17881.875</v>
      </c>
      <c r="J73" s="18">
        <v>18.827000000000002</v>
      </c>
      <c r="K73" s="18">
        <v>29.322000000000003</v>
      </c>
      <c r="L73" s="19">
        <v>31.774000000000001</v>
      </c>
      <c r="M73" s="62" t="s">
        <v>25</v>
      </c>
      <c r="N73" s="46">
        <f>bdrateextend($D67:$D73,E67:E73,$I67:$I73,J67:J73,"BothAlways",TRUE)</f>
        <v>0.99925857275254859</v>
      </c>
      <c r="O73" s="42">
        <f>bdrateextend($D67:$D73,F67:F73,$I67:$I73,K67:K73,"BothAlways",TRUE)</f>
        <v>-0.99945392491467611</v>
      </c>
      <c r="P73" s="42">
        <f>bdrateextend($D67:$D73,G67:G73,$I67:$I73,L67:L73,"BothAlways",TRUE)</f>
        <v>-0.99940599940599872</v>
      </c>
      <c r="Q73" s="46"/>
      <c r="R73" s="42"/>
      <c r="S73" s="42"/>
      <c r="T73" s="47">
        <f>bdpsnrextend($D67:$D73,E67:E73,$I67:$I73,J67:J73,"BothAlways",TRUE)</f>
        <v>0.99913641199648007</v>
      </c>
      <c r="U73" s="48">
        <f>bdpsnrextend($D67:$D73,F67:F73,$I67:$I73,K67:K73,"BothAlways",TRUE)</f>
        <v>0.99913641199648007</v>
      </c>
      <c r="V73" s="48">
        <f>bdpsnrextend($D67:$D73,G67:G73,$I67:$I73,L67:L73,"BothAlways",TRUE)</f>
        <v>0.99913641199648007</v>
      </c>
      <c r="W73" s="39"/>
      <c r="X73" s="40"/>
      <c r="Y73" s="41"/>
    </row>
    <row r="74" spans="1:25" x14ac:dyDescent="0.15">
      <c r="A74" s="1"/>
      <c r="M74" s="15"/>
    </row>
    <row r="75" spans="1:25" ht="13" thickBot="1" x14ac:dyDescent="0.2">
      <c r="A75" s="1"/>
      <c r="M75" s="15"/>
    </row>
    <row r="76" spans="1:25" ht="13" thickBot="1" x14ac:dyDescent="0.2">
      <c r="A76" s="1"/>
      <c r="B76" s="61" t="s">
        <v>31</v>
      </c>
      <c r="C76" s="30">
        <v>22</v>
      </c>
      <c r="D76" s="8">
        <v>1114087</v>
      </c>
      <c r="E76" s="9">
        <v>35</v>
      </c>
      <c r="F76" s="9">
        <v>36.664999999999999</v>
      </c>
      <c r="G76" s="10">
        <v>38.548000000000002</v>
      </c>
      <c r="H76" s="20"/>
      <c r="I76" s="17">
        <v>17881.875</v>
      </c>
      <c r="J76" s="18">
        <v>18.827000000000002</v>
      </c>
      <c r="K76" s="18">
        <v>29.322000000000003</v>
      </c>
      <c r="L76" s="19">
        <v>31.774000000000001</v>
      </c>
      <c r="M76" s="62" t="s">
        <v>22</v>
      </c>
      <c r="N76" s="24">
        <f>bdrate($D76:$D79,E76:E79,$I76:$I79,J76:J79)</f>
        <v>-0.99999299396897212</v>
      </c>
      <c r="O76" s="26">
        <f>bdrate($D76:$D79,F76:F79,$I76:$I79,K76:K79)</f>
        <v>0</v>
      </c>
      <c r="P76" s="26">
        <f>bdrate($D76:$D79,G76:G79,$I76:$I79,L76:L79)</f>
        <v>0</v>
      </c>
      <c r="Q76" s="24">
        <f>bdrateOld($D76:$D79,E76:E79,$I76:$I79,J76:J79)</f>
        <v>6.4688483097308236E-4</v>
      </c>
      <c r="R76" s="26">
        <f>bdrateOld($D76:$D79,F76:F79,$I76:$I79,K76:K79)</f>
        <v>1.5386358574711601E-2</v>
      </c>
      <c r="S76" s="26">
        <f>bdrateOld($D76:$D79,G76:G79,$I76:$I79,L76:L79)</f>
        <v>3.3111023191966904E-2</v>
      </c>
      <c r="T76" s="33">
        <f>bdpsnr(D76:D79,E76:E79,I76:I79,J76:J79)</f>
        <v>-26.323031370762685</v>
      </c>
      <c r="U76" s="34">
        <f>bdpsnr(E76:E79,F76:F79,J76:J79,K76:K79)</f>
        <v>-32.34211644245903</v>
      </c>
      <c r="V76" s="34">
        <f>bdpsnr(F76:F79,G76:G79,K76:K79,L76:L79)</f>
        <v>0</v>
      </c>
      <c r="W76" s="33">
        <f>bdpsnrOld(D76:D79,E76:E79,I76:I79,J76:J79)</f>
        <v>-2.7988915865558338E-3</v>
      </c>
      <c r="X76" s="34">
        <f>bdpsnrOld(E76:E79,F76:F79,J76:J79,K76:K79)</f>
        <v>-2.1965710145102516E-2</v>
      </c>
      <c r="Y76" s="35">
        <f>bdpsnrOld(F76:F79,G76:G79,K76:K79,L76:L79)</f>
        <v>-2.3972029114358983E-2</v>
      </c>
    </row>
    <row r="77" spans="1:25" ht="16" customHeight="1" x14ac:dyDescent="0.15">
      <c r="A77" s="1"/>
      <c r="B77" s="63"/>
      <c r="C77" s="32">
        <v>27</v>
      </c>
      <c r="D77" s="12">
        <v>536814</v>
      </c>
      <c r="E77" s="13">
        <v>31.843</v>
      </c>
      <c r="F77" s="13">
        <v>35.155999999999999</v>
      </c>
      <c r="G77" s="14">
        <v>37.22</v>
      </c>
      <c r="H77" s="20"/>
      <c r="I77" s="12">
        <v>35763.75</v>
      </c>
      <c r="J77" s="13">
        <v>21.327000000000002</v>
      </c>
      <c r="K77" s="13">
        <v>30.322000000000003</v>
      </c>
      <c r="L77" s="14">
        <v>32.774000000000001</v>
      </c>
      <c r="M77" s="62"/>
      <c r="N77" s="25"/>
      <c r="O77" s="27"/>
      <c r="P77" s="27"/>
      <c r="Q77" s="25"/>
      <c r="R77" s="27"/>
      <c r="S77" s="27"/>
      <c r="T77" s="43"/>
      <c r="U77" s="44"/>
      <c r="V77" s="44"/>
      <c r="W77" s="43"/>
      <c r="X77" s="44"/>
      <c r="Y77" s="45"/>
    </row>
    <row r="78" spans="1:25" ht="16" customHeight="1" x14ac:dyDescent="0.15">
      <c r="A78" s="1"/>
      <c r="B78" s="63"/>
      <c r="C78" s="32">
        <v>32</v>
      </c>
      <c r="D78" s="12">
        <v>264324</v>
      </c>
      <c r="E78" s="13">
        <v>28.998000000000001</v>
      </c>
      <c r="F78" s="13">
        <v>33.512</v>
      </c>
      <c r="G78" s="14">
        <v>35.777000000000001</v>
      </c>
      <c r="H78" s="20"/>
      <c r="I78" s="12">
        <v>71527.5</v>
      </c>
      <c r="J78" s="13">
        <v>23.827000000000002</v>
      </c>
      <c r="K78" s="13">
        <v>31.322000000000003</v>
      </c>
      <c r="L78" s="14">
        <v>33.774000000000001</v>
      </c>
      <c r="M78" s="62" t="s">
        <v>23</v>
      </c>
      <c r="N78" s="25">
        <f>bdrateextend($D76:$D82,E76:E82,$I76:$I82,J76:J82)</f>
        <v>-5.9072512820700362E-3</v>
      </c>
      <c r="O78" s="27">
        <f>bdrateextend($D76:$D82,F76:F82,$I76:$I82,K76:K82)</f>
        <v>3.2452294627983491E-2</v>
      </c>
      <c r="P78" s="27">
        <f>bdrateextend($D76:$D82,G76:G82,$I76:$I82,L76:L82)</f>
        <v>4.6044010580193584E-2</v>
      </c>
      <c r="Q78" s="25"/>
      <c r="R78" s="27"/>
      <c r="S78" s="27"/>
      <c r="T78" s="43">
        <f>bdpsnrextend(D76:D82,E76:E82,I76:I82,J76:J82)</f>
        <v>2.3163848113779525E-2</v>
      </c>
      <c r="U78" s="44">
        <f>bdpsnrextend(E76:E82,F76:F82,J76:J82,K76:K82)</f>
        <v>-5.7283686095227583E-2</v>
      </c>
      <c r="V78" s="44">
        <f>bdpsnrextend(F76:F82,G76:G82,K76:K82,L76:L82)</f>
        <v>-1.9930756742565517E-2</v>
      </c>
      <c r="W78" s="36"/>
      <c r="X78" s="37"/>
      <c r="Y78" s="38"/>
    </row>
    <row r="79" spans="1:25" ht="16" customHeight="1" x14ac:dyDescent="0.15">
      <c r="A79" s="1"/>
      <c r="B79" s="63"/>
      <c r="C79" s="32">
        <v>37</v>
      </c>
      <c r="D79" s="12">
        <v>142545</v>
      </c>
      <c r="E79" s="13">
        <v>26.315000000000001</v>
      </c>
      <c r="F79" s="13">
        <v>32.340000000000003</v>
      </c>
      <c r="G79" s="14">
        <v>34.814</v>
      </c>
      <c r="H79" s="20"/>
      <c r="I79" s="12">
        <v>143055</v>
      </c>
      <c r="J79" s="13">
        <v>26.327000000000002</v>
      </c>
      <c r="K79" s="13">
        <v>32.322000000000003</v>
      </c>
      <c r="L79" s="14">
        <v>34.774000000000001</v>
      </c>
      <c r="M79" s="62"/>
      <c r="N79" s="25"/>
      <c r="O79" s="27">
        <f>bdrateextend($D76:$D82,F76:F82,$I76:$I82,K76:K82)</f>
        <v>3.2452294627983491E-2</v>
      </c>
      <c r="P79" s="27"/>
      <c r="Q79" s="64" t="s">
        <v>27</v>
      </c>
      <c r="R79" s="65"/>
      <c r="S79" s="66"/>
      <c r="T79" s="43"/>
      <c r="U79" s="44"/>
      <c r="V79" s="44"/>
      <c r="W79" s="36"/>
      <c r="X79" s="37"/>
      <c r="Y79" s="38"/>
    </row>
    <row r="80" spans="1:25" ht="16" customHeight="1" x14ac:dyDescent="0.15">
      <c r="A80" s="1"/>
      <c r="B80" s="63"/>
      <c r="C80" s="32">
        <v>39</v>
      </c>
      <c r="D80" s="12">
        <v>71272.5</v>
      </c>
      <c r="E80" s="13">
        <v>23.815000000000001</v>
      </c>
      <c r="F80" s="13">
        <v>31.340000000000003</v>
      </c>
      <c r="G80" s="14">
        <v>33.814</v>
      </c>
      <c r="H80" s="20"/>
      <c r="I80" s="12">
        <v>265287</v>
      </c>
      <c r="J80" s="13">
        <v>28.994</v>
      </c>
      <c r="K80" s="13">
        <v>33.494</v>
      </c>
      <c r="L80" s="14">
        <v>35.749000000000002</v>
      </c>
      <c r="M80" s="62" t="s">
        <v>24</v>
      </c>
      <c r="N80" s="25">
        <f>bdrateextend($D76:$D82,E76:E82,$I76:$I82,J76:J82,"BothAlways")</f>
        <v>-5.4252671907343286E-3</v>
      </c>
      <c r="O80" s="27">
        <f>bdrateextend($D76:$D82,F76:F82,$I76:$I82,K76:K82,"BothAlways")</f>
        <v>2.6111349472981216E-2</v>
      </c>
      <c r="P80" s="27">
        <f>bdrateextend($D76:$D82,G76:G82,$I76:$I82,L76:L82,"BothAlways")</f>
        <v>3.7057754202684867E-2</v>
      </c>
      <c r="Q80" s="25">
        <f>bdrateextend($D76:$D82,E76:E82,$I76:$I82,J76:J82,"Both")</f>
        <v>-5.9072512820700362E-3</v>
      </c>
      <c r="R80" s="27">
        <f>bdrateextend($D76:$D82,F76:F82,$I76:$I82,K76:K82,"Both")</f>
        <v>3.2452294627983491E-2</v>
      </c>
      <c r="S80" s="27">
        <f>bdrateextend($D76:$D82,G76:G82,$I76:$I82,L76:L82,"Both")</f>
        <v>4.6044010580193584E-2</v>
      </c>
      <c r="T80" s="43">
        <f>bdpsnrextend($D76:$D82,E76:E82,$I76:$I82,J76:J82,"BothAlways")</f>
        <v>2.1456701600328233E-2</v>
      </c>
      <c r="U80" s="44">
        <f>bdpsnrextend($D76:$D82,F76:F82,$I76:$I82,K76:K82,"BothAlways")</f>
        <v>-5.325413271639725E-2</v>
      </c>
      <c r="V80" s="44">
        <f>bdpsnrextend($D76:$D82,G76:G82,$I76:$I82,L76:L82,"BothAlways")</f>
        <v>-6.8698142054718206E-2</v>
      </c>
      <c r="W80" s="43">
        <f>bdpsnrextend($D76:$D82,E76:E82,$I76:$I82,J76:J82,"Both")</f>
        <v>2.3163848113779525E-2</v>
      </c>
      <c r="X80" s="44">
        <f>bdpsnrextend($D76:$D82,F76:F82,$I76:$I82,K76:K82,"Both")</f>
        <v>-5.467734037406323E-2</v>
      </c>
      <c r="Y80" s="45">
        <f>bdpsnrextend($D76:$D82,G76:G82,$I76:$I82,L76:L82,"Both")</f>
        <v>-6.9924508944092967E-2</v>
      </c>
    </row>
    <row r="81" spans="1:25" ht="17" customHeight="1" thickBot="1" x14ac:dyDescent="0.2">
      <c r="A81" s="1"/>
      <c r="B81" s="63"/>
      <c r="C81" s="32">
        <v>41</v>
      </c>
      <c r="D81" s="12">
        <v>35636.25</v>
      </c>
      <c r="E81" s="13">
        <v>21.315000000000001</v>
      </c>
      <c r="F81" s="13">
        <v>30.340000000000003</v>
      </c>
      <c r="G81" s="14">
        <v>32.814</v>
      </c>
      <c r="H81" s="20"/>
      <c r="I81" s="12">
        <v>265287</v>
      </c>
      <c r="J81" s="13">
        <v>28.994</v>
      </c>
      <c r="K81" s="13">
        <v>33.494</v>
      </c>
      <c r="L81" s="14">
        <v>35.749000000000002</v>
      </c>
      <c r="M81" s="62"/>
      <c r="N81" s="25"/>
      <c r="O81" s="27"/>
      <c r="P81" s="27"/>
      <c r="Q81" s="25"/>
      <c r="R81" s="27"/>
      <c r="S81" s="27"/>
      <c r="T81" s="43"/>
      <c r="U81" s="44"/>
      <c r="V81" s="44"/>
      <c r="W81" s="43"/>
      <c r="X81" s="44"/>
      <c r="Y81" s="45"/>
    </row>
    <row r="82" spans="1:25" ht="17" customHeight="1" thickBot="1" x14ac:dyDescent="0.2">
      <c r="A82" s="1"/>
      <c r="B82" s="67"/>
      <c r="C82" s="68">
        <v>43</v>
      </c>
      <c r="D82" s="17">
        <v>17818.125</v>
      </c>
      <c r="E82" s="18">
        <v>18.815000000000001</v>
      </c>
      <c r="F82" s="18">
        <v>29.340000000000003</v>
      </c>
      <c r="G82" s="19">
        <v>31.814</v>
      </c>
      <c r="H82" s="20"/>
      <c r="I82" s="8">
        <v>1115327</v>
      </c>
      <c r="J82" s="9">
        <v>35.003</v>
      </c>
      <c r="K82" s="9">
        <v>36.661000000000001</v>
      </c>
      <c r="L82" s="10">
        <v>38.543999999999997</v>
      </c>
      <c r="M82" s="62" t="s">
        <v>25</v>
      </c>
      <c r="N82" s="46">
        <f>bdrateextend($D76:$D82,E76:E82,$I76:$I82,J76:J82,"BothAlways",TRUE)</f>
        <v>0.99925857275254859</v>
      </c>
      <c r="O82" s="42">
        <f>bdrateextend($D76:$D82,F76:F82,$I76:$I82,K76:K82,"BothAlways",TRUE)</f>
        <v>-0.99945392491467611</v>
      </c>
      <c r="P82" s="42">
        <f>bdrateextend($D76:$D82,G76:G82,$I76:$I82,L76:L82,"BothAlways",TRUE)</f>
        <v>-0.99940599940599872</v>
      </c>
      <c r="Q82" s="46"/>
      <c r="R82" s="42"/>
      <c r="S82" s="42"/>
      <c r="T82" s="47">
        <f>bdpsnrextend($D76:$D82,E76:E82,$I76:$I82,J76:J82,"BothAlways",TRUE)</f>
        <v>0.99913641199648007</v>
      </c>
      <c r="U82" s="48">
        <f>bdpsnrextend($D76:$D82,F76:F82,$I76:$I82,K76:K82,"BothAlways",TRUE)</f>
        <v>0.99913641199648007</v>
      </c>
      <c r="V82" s="48">
        <f>bdpsnrextend($D76:$D82,G76:G82,$I76:$I82,L76:L82,"BothAlways",TRUE)</f>
        <v>0.99913641199648007</v>
      </c>
      <c r="W82" s="39"/>
      <c r="X82" s="40"/>
      <c r="Y82" s="41"/>
    </row>
    <row r="83" spans="1:25" x14ac:dyDescent="0.15">
      <c r="A83" s="1"/>
      <c r="M83" s="15"/>
    </row>
    <row r="84" spans="1:25" ht="13" thickBot="1" x14ac:dyDescent="0.2">
      <c r="A84" s="1"/>
      <c r="M84" s="15"/>
    </row>
    <row r="85" spans="1:25" ht="12" customHeight="1" x14ac:dyDescent="0.15">
      <c r="A85" s="1"/>
      <c r="B85" s="61" t="s">
        <v>32</v>
      </c>
      <c r="C85" s="30">
        <v>22</v>
      </c>
      <c r="D85" s="8">
        <v>1114087</v>
      </c>
      <c r="E85" s="9">
        <v>35</v>
      </c>
      <c r="F85" s="9">
        <v>36.664999999999999</v>
      </c>
      <c r="G85" s="10">
        <v>38.548000000000002</v>
      </c>
      <c r="H85" s="20"/>
      <c r="I85" s="8">
        <v>1115327</v>
      </c>
      <c r="J85" s="9">
        <v>35.003</v>
      </c>
      <c r="K85" s="9">
        <v>36.661000000000001</v>
      </c>
      <c r="L85" s="10">
        <v>38.543999999999997</v>
      </c>
      <c r="M85" s="62" t="s">
        <v>22</v>
      </c>
      <c r="N85" s="24">
        <f>bdrate($D85:$D88,E85:E88,$I85:$I88,J85:J88)</f>
        <v>3.0911847856780472E-3</v>
      </c>
      <c r="O85" s="26">
        <f>bdrate($D85:$D88,F85:F88,$I85:$I88,K85:K88)</f>
        <v>6.1555046419534687E-3</v>
      </c>
      <c r="P85" s="26">
        <f>bdrate($D85:$D88,G85:G88,$I85:$I88,L85:L88)</f>
        <v>1.1636901641023822E-2</v>
      </c>
      <c r="Q85" s="24">
        <f>bdrateOld($D85:$D88,E85:E88,$I85:$I88,J85:J88)</f>
        <v>3.0920054851981682E-3</v>
      </c>
      <c r="R85" s="26">
        <f>bdrateOld($D85:$D88,F85:F88,$I85:$I88,K85:K88)</f>
        <v>6.0998992117418105E-3</v>
      </c>
      <c r="S85" s="26">
        <f>bdrateOld($D85:$D88,G85:G88,$I85:$I88,L85:L88)</f>
        <v>1.1657698534308203E-2</v>
      </c>
      <c r="T85" s="33">
        <f>bdpsnr(D85:D88,E85:E88,I85:I88,J85:J88)</f>
        <v>-1.2960601345978762E-2</v>
      </c>
      <c r="U85" s="34">
        <f>bdpsnr(E85:E88,F85:F88,J85:J88,K85:K88)</f>
        <v>-7.0548656616446822E-3</v>
      </c>
      <c r="V85" s="34">
        <f>bdpsnr(F85:F88,G85:G88,K85:K88,L85:L88)</f>
        <v>-1.0226453481026238E-2</v>
      </c>
      <c r="W85" s="33">
        <f>bdpsnrOld(D85:D88,E85:E88,I85:I88,J85:J88)</f>
        <v>-1.2812460195616104E-2</v>
      </c>
      <c r="X85" s="34">
        <f>bdpsnrOld(E85:E88,F85:F88,J85:J88,K85:K88)</f>
        <v>-6.8435957227874324E-3</v>
      </c>
      <c r="Y85" s="35">
        <f>bdpsnrOld(F85:F88,G85:G88,K85:K88,L85:L88)</f>
        <v>-1.0333991355321764E-2</v>
      </c>
    </row>
    <row r="86" spans="1:25" ht="16" customHeight="1" x14ac:dyDescent="0.15">
      <c r="A86" s="1"/>
      <c r="B86" s="63"/>
      <c r="C86" s="32">
        <v>27</v>
      </c>
      <c r="D86" s="12">
        <v>536814</v>
      </c>
      <c r="E86" s="13">
        <v>31.843</v>
      </c>
      <c r="F86" s="13">
        <v>35.155999999999999</v>
      </c>
      <c r="G86" s="14">
        <v>37.22</v>
      </c>
      <c r="H86" s="20"/>
      <c r="I86" s="12">
        <v>538199</v>
      </c>
      <c r="J86" s="13">
        <v>31.84</v>
      </c>
      <c r="K86" s="13">
        <v>35.161000000000001</v>
      </c>
      <c r="L86" s="14">
        <v>37.216999999999999</v>
      </c>
      <c r="M86" s="62"/>
      <c r="N86" s="25"/>
      <c r="O86" s="27"/>
      <c r="P86" s="27"/>
      <c r="Q86" s="25"/>
      <c r="R86" s="27"/>
      <c r="S86" s="27"/>
      <c r="T86" s="43"/>
      <c r="U86" s="44"/>
      <c r="V86" s="44"/>
      <c r="W86" s="43"/>
      <c r="X86" s="44"/>
      <c r="Y86" s="45"/>
    </row>
    <row r="87" spans="1:25" ht="16" customHeight="1" x14ac:dyDescent="0.15">
      <c r="A87" s="1"/>
      <c r="B87" s="63"/>
      <c r="C87" s="32">
        <v>32</v>
      </c>
      <c r="D87" s="12">
        <v>264324</v>
      </c>
      <c r="E87" s="13">
        <v>28.998000000000001</v>
      </c>
      <c r="F87" s="13">
        <v>33.512</v>
      </c>
      <c r="G87" s="14">
        <v>35.777000000000001</v>
      </c>
      <c r="H87" s="20"/>
      <c r="I87" s="12">
        <v>265287</v>
      </c>
      <c r="J87" s="13">
        <v>28.994</v>
      </c>
      <c r="K87" s="13">
        <v>33.494</v>
      </c>
      <c r="L87" s="14">
        <v>35.749000000000002</v>
      </c>
      <c r="M87" s="62" t="s">
        <v>23</v>
      </c>
      <c r="N87" s="25">
        <f>bdrateextend($D85:$D91,E85:E91,$I85:$I91,J85:J91)</f>
        <v>5.0933128705887842E-3</v>
      </c>
      <c r="O87" s="27">
        <f>bdrateextend($D85:$D91,F85:F91,$I85:$I91,K85:K91)</f>
        <v>6.9967260875718473E-3</v>
      </c>
      <c r="P87" s="27">
        <f>bdrateextend($D85:$D91,G85:G91,$I85:$I91,L85:L91)</f>
        <v>1.0954452865858055E-2</v>
      </c>
      <c r="Q87" s="25"/>
      <c r="R87" s="27"/>
      <c r="S87" s="27"/>
      <c r="T87" s="43">
        <f>bdpsnrextend(D85:D91,E85:E91,I85:I91,J85:J91)</f>
        <v>-2.0961290407072033E-2</v>
      </c>
      <c r="U87" s="44">
        <f>bdpsnrextend(E85:E91,F85:F91,J85:J91,K85:K91)</f>
        <v>-2.4174181609232254E-3</v>
      </c>
      <c r="V87" s="44">
        <f>bdpsnrextend(F85:F91,G85:G91,K85:K91,L85:L91)</f>
        <v>-7.4419191379213288E-3</v>
      </c>
      <c r="W87" s="36"/>
      <c r="X87" s="37"/>
      <c r="Y87" s="38"/>
    </row>
    <row r="88" spans="1:25" ht="16" customHeight="1" x14ac:dyDescent="0.15">
      <c r="A88" s="1"/>
      <c r="B88" s="63"/>
      <c r="C88" s="32">
        <v>37</v>
      </c>
      <c r="D88" s="12">
        <v>142545</v>
      </c>
      <c r="E88" s="13">
        <v>26.315000000000001</v>
      </c>
      <c r="F88" s="13">
        <v>32.340000000000003</v>
      </c>
      <c r="G88" s="14">
        <v>34.814</v>
      </c>
      <c r="H88" s="20"/>
      <c r="I88" s="12">
        <v>143055</v>
      </c>
      <c r="J88" s="13">
        <v>26.327000000000002</v>
      </c>
      <c r="K88" s="13">
        <v>32.322000000000003</v>
      </c>
      <c r="L88" s="14">
        <v>34.774000000000001</v>
      </c>
      <c r="M88" s="62"/>
      <c r="N88" s="25"/>
      <c r="O88" s="27">
        <f>bdrateextend($D85:$D91,F85:F91,$I85:$I91,K85:K91)</f>
        <v>6.9967260875718473E-3</v>
      </c>
      <c r="P88" s="27"/>
      <c r="Q88" s="64" t="s">
        <v>27</v>
      </c>
      <c r="R88" s="65"/>
      <c r="S88" s="66"/>
      <c r="T88" s="43"/>
      <c r="U88" s="44"/>
      <c r="V88" s="44"/>
      <c r="W88" s="36"/>
      <c r="X88" s="37"/>
      <c r="Y88" s="38"/>
    </row>
    <row r="89" spans="1:25" ht="16" customHeight="1" x14ac:dyDescent="0.15">
      <c r="A89" s="1"/>
      <c r="B89" s="63"/>
      <c r="C89" s="32">
        <v>39</v>
      </c>
      <c r="D89" s="12"/>
      <c r="E89" s="13"/>
      <c r="F89" s="13"/>
      <c r="G89" s="14"/>
      <c r="H89" s="20"/>
      <c r="I89" s="12">
        <v>71527.5</v>
      </c>
      <c r="J89" s="13">
        <v>23.827000000000002</v>
      </c>
      <c r="K89" s="13">
        <v>31.322000000000003</v>
      </c>
      <c r="L89" s="14">
        <v>33.774000000000001</v>
      </c>
      <c r="M89" s="62" t="s">
        <v>24</v>
      </c>
      <c r="N89" s="25">
        <f>bdrateextend($D85:$D91,E85:E91,$I85:$I91,J85:J91,"BothAlways")</f>
        <v>-6.6375448448400265E-3</v>
      </c>
      <c r="O89" s="27">
        <f>bdrateextend($D85:$D91,F85:F91,$I85:$I91,K85:K91,"BothAlways")</f>
        <v>-2.9145381321492581E-3</v>
      </c>
      <c r="P89" s="27">
        <f>bdrateextend($D85:$D91,G85:G91,$I85:$I91,L85:L91,"BothAlways")</f>
        <v>1.2556120186917763E-2</v>
      </c>
      <c r="Q89" s="25">
        <f>bdrateextend($D85:$D91,E85:E91,$I85:$I91,J85:J91,"Both")</f>
        <v>5.0933128705887842E-3</v>
      </c>
      <c r="R89" s="27">
        <f>bdrateextend($D85:$D91,F85:F91,$I85:$I91,K85:K91,"Both")</f>
        <v>6.9967260875718473E-3</v>
      </c>
      <c r="S89" s="27">
        <f>bdrateextend($D85:$D91,G85:G91,$I85:$I91,L85:L91,"Both")</f>
        <v>1.0954452865858055E-2</v>
      </c>
      <c r="T89" s="43">
        <f>bdpsnrextend($D85:$D91,E85:E91,$I85:$I91,J85:J91,"BothAlways")</f>
        <v>3.6911579212741082E-2</v>
      </c>
      <c r="U89" s="44">
        <f>bdpsnrextend($D85:$D91,F85:F91,$I85:$I91,K85:K91,"BothAlways")</f>
        <v>1.681094239624073E-2</v>
      </c>
      <c r="V89" s="44">
        <f>bdpsnrextend($D85:$D91,G85:G91,$I85:$I91,L85:L91,"BothAlways")</f>
        <v>-1.8081579422312102E-2</v>
      </c>
      <c r="W89" s="43">
        <f>bdpsnrextend($D85:$D91,E85:E91,$I85:$I91,J85:J91,"Both")</f>
        <v>-2.0961290407072033E-2</v>
      </c>
      <c r="X89" s="44">
        <f>bdpsnrextend($D85:$D91,F85:F91,$I85:$I91,K85:K91,"Both")</f>
        <v>-1.3558821454609076E-2</v>
      </c>
      <c r="Y89" s="45">
        <f>bdpsnrextend($D85:$D91,G85:G91,$I85:$I91,L85:L91,"Both")</f>
        <v>-1.877575430072502E-2</v>
      </c>
    </row>
    <row r="90" spans="1:25" ht="16" customHeight="1" x14ac:dyDescent="0.15">
      <c r="A90" s="1"/>
      <c r="B90" s="63"/>
      <c r="C90" s="32">
        <v>41</v>
      </c>
      <c r="D90" s="12"/>
      <c r="E90" s="13"/>
      <c r="F90" s="13"/>
      <c r="G90" s="14"/>
      <c r="H90" s="20"/>
      <c r="I90" s="12"/>
      <c r="J90" s="13"/>
      <c r="K90" s="13"/>
      <c r="L90" s="14"/>
      <c r="M90" s="62"/>
      <c r="N90" s="25"/>
      <c r="O90" s="27"/>
      <c r="P90" s="27"/>
      <c r="Q90" s="25"/>
      <c r="R90" s="27"/>
      <c r="S90" s="27"/>
      <c r="T90" s="43"/>
      <c r="U90" s="44"/>
      <c r="V90" s="44"/>
      <c r="W90" s="43"/>
      <c r="X90" s="44"/>
      <c r="Y90" s="45"/>
    </row>
    <row r="91" spans="1:25" ht="17" customHeight="1" thickBot="1" x14ac:dyDescent="0.2">
      <c r="A91" s="1"/>
      <c r="B91" s="67"/>
      <c r="C91" s="68">
        <v>43</v>
      </c>
      <c r="D91" s="17"/>
      <c r="E91" s="18"/>
      <c r="F91" s="18"/>
      <c r="G91" s="19"/>
      <c r="H91" s="20"/>
      <c r="I91" s="17"/>
      <c r="J91" s="18"/>
      <c r="K91" s="18"/>
      <c r="L91" s="19"/>
      <c r="M91" s="62" t="s">
        <v>25</v>
      </c>
      <c r="N91" s="46">
        <f>bdrateextend($D85:$D91,E85:E91,$I85:$I91,J85:J91,"BothAlways",TRUE)</f>
        <v>1</v>
      </c>
      <c r="O91" s="42">
        <f>bdrateextend($D85:$D91,F85:F91,$I85:$I91,K85:K91,"BothAlways",TRUE)</f>
        <v>-0.99907514450867108</v>
      </c>
      <c r="P91" s="42">
        <f>bdrateextend($D85:$D91,G85:G91,$I85:$I91,L85:L91,"BothAlways",TRUE)</f>
        <v>-0.99892876272094133</v>
      </c>
      <c r="Q91" s="46"/>
      <c r="R91" s="42"/>
      <c r="S91" s="42"/>
      <c r="T91" s="47">
        <f>bdpsnrextend($D85:$D91,E85:E91,$I85:$I91,J85:J91,"BothAlways",TRUE)</f>
        <v>1</v>
      </c>
      <c r="U91" s="48">
        <f>bdpsnrextend($D85:$D91,F85:F91,$I85:$I91,K85:K91,"BothAlways",TRUE)</f>
        <v>1</v>
      </c>
      <c r="V91" s="48">
        <f>bdpsnrextend($D85:$D91,G85:G91,$I85:$I91,L85:L91,"BothAlways",TRUE)</f>
        <v>1</v>
      </c>
      <c r="W91" s="39"/>
      <c r="X91" s="40"/>
      <c r="Y91" s="41"/>
    </row>
    <row r="92" spans="1:25" x14ac:dyDescent="0.15">
      <c r="A92" s="1"/>
      <c r="M92" s="15"/>
    </row>
    <row r="93" spans="1:25" x14ac:dyDescent="0.15">
      <c r="A93" s="1"/>
      <c r="M93" s="15"/>
    </row>
    <row r="94" spans="1:25" x14ac:dyDescent="0.15">
      <c r="A94" s="1"/>
      <c r="M94" s="15"/>
    </row>
    <row r="95" spans="1:25" x14ac:dyDescent="0.15">
      <c r="A95" s="1"/>
      <c r="M95" s="15"/>
    </row>
    <row r="96" spans="1:25" x14ac:dyDescent="0.15">
      <c r="A96" s="1"/>
      <c r="M96" s="15"/>
    </row>
    <row r="97" spans="13:13" s="1" customFormat="1" x14ac:dyDescent="0.15">
      <c r="M97" s="15"/>
    </row>
    <row r="98" spans="13:13" s="1" customFormat="1" x14ac:dyDescent="0.15">
      <c r="M98" s="15"/>
    </row>
    <row r="99" spans="13:13" s="1" customFormat="1" x14ac:dyDescent="0.15">
      <c r="M99" s="15"/>
    </row>
  </sheetData>
  <mergeCells count="25">
    <mergeCell ref="B67:B73"/>
    <mergeCell ref="Q70:S70"/>
    <mergeCell ref="B76:B82"/>
    <mergeCell ref="Q79:S79"/>
    <mergeCell ref="B85:B91"/>
    <mergeCell ref="Q88:S88"/>
    <mergeCell ref="B37:B43"/>
    <mergeCell ref="Q40:S40"/>
    <mergeCell ref="B47:B53"/>
    <mergeCell ref="Q50:S50"/>
    <mergeCell ref="B57:B63"/>
    <mergeCell ref="Q60:S60"/>
    <mergeCell ref="D1:G1"/>
    <mergeCell ref="I1:L1"/>
    <mergeCell ref="N1:P1"/>
    <mergeCell ref="Q1:S1"/>
    <mergeCell ref="T1:V1"/>
    <mergeCell ref="W1:Y1"/>
    <mergeCell ref="B23:B26"/>
    <mergeCell ref="B27:B30"/>
    <mergeCell ref="B3:B6"/>
    <mergeCell ref="B7:B10"/>
    <mergeCell ref="B11:B14"/>
    <mergeCell ref="B15:B18"/>
    <mergeCell ref="B19:B22"/>
  </mergeCells>
  <conditionalFormatting sqref="N3:P6">
    <cfRule type="cellIs" dxfId="103" priority="51" operator="greaterThan">
      <formula>0.03</formula>
    </cfRule>
    <cfRule type="cellIs" dxfId="102" priority="52" stopIfTrue="1" operator="lessThan">
      <formula>-0.03</formula>
    </cfRule>
  </conditionalFormatting>
  <conditionalFormatting sqref="Q37:S39 Q41:S43 Q40">
    <cfRule type="cellIs" dxfId="99" priority="21" operator="greaterThan">
      <formula>0.03</formula>
    </cfRule>
    <cfRule type="cellIs" dxfId="98" priority="22" stopIfTrue="1" operator="lessThan">
      <formula>-0.03</formula>
    </cfRule>
  </conditionalFormatting>
  <conditionalFormatting sqref="N37:P43">
    <cfRule type="cellIs" dxfId="95" priority="23" operator="greaterThan">
      <formula>0.03</formula>
    </cfRule>
    <cfRule type="cellIs" dxfId="94" priority="24" stopIfTrue="1" operator="lessThan">
      <formula>-0.03</formula>
    </cfRule>
  </conditionalFormatting>
  <conditionalFormatting sqref="Q3:S6">
    <cfRule type="cellIs" dxfId="91" priority="49" operator="greaterThan">
      <formula>0.03</formula>
    </cfRule>
    <cfRule type="cellIs" dxfId="90" priority="50" stopIfTrue="1" operator="lessThan">
      <formula>-0.03</formula>
    </cfRule>
  </conditionalFormatting>
  <conditionalFormatting sqref="N7:P10">
    <cfRule type="cellIs" dxfId="87" priority="47" operator="greaterThan">
      <formula>0.03</formula>
    </cfRule>
    <cfRule type="cellIs" dxfId="86" priority="48" stopIfTrue="1" operator="lessThan">
      <formula>-0.03</formula>
    </cfRule>
  </conditionalFormatting>
  <conditionalFormatting sqref="Q7:S10">
    <cfRule type="cellIs" dxfId="83" priority="45" operator="greaterThan">
      <formula>0.03</formula>
    </cfRule>
    <cfRule type="cellIs" dxfId="82" priority="46" stopIfTrue="1" operator="lessThan">
      <formula>-0.03</formula>
    </cfRule>
  </conditionalFormatting>
  <conditionalFormatting sqref="N11:P14">
    <cfRule type="cellIs" dxfId="79" priority="43" operator="greaterThan">
      <formula>0.03</formula>
    </cfRule>
    <cfRule type="cellIs" dxfId="78" priority="44" stopIfTrue="1" operator="lessThan">
      <formula>-0.03</formula>
    </cfRule>
  </conditionalFormatting>
  <conditionalFormatting sqref="Q11:S14">
    <cfRule type="cellIs" dxfId="75" priority="41" operator="greaterThan">
      <formula>0.03</formula>
    </cfRule>
    <cfRule type="cellIs" dxfId="74" priority="42" stopIfTrue="1" operator="lessThan">
      <formula>-0.03</formula>
    </cfRule>
  </conditionalFormatting>
  <conditionalFormatting sqref="N15:P18">
    <cfRule type="cellIs" dxfId="71" priority="39" operator="greaterThan">
      <formula>0.03</formula>
    </cfRule>
    <cfRule type="cellIs" dxfId="70" priority="40" stopIfTrue="1" operator="lessThan">
      <formula>-0.03</formula>
    </cfRule>
  </conditionalFormatting>
  <conditionalFormatting sqref="Q15:S18">
    <cfRule type="cellIs" dxfId="67" priority="37" operator="greaterThan">
      <formula>0.03</formula>
    </cfRule>
    <cfRule type="cellIs" dxfId="66" priority="38" stopIfTrue="1" operator="lessThan">
      <formula>-0.03</formula>
    </cfRule>
  </conditionalFormatting>
  <conditionalFormatting sqref="N19:P22">
    <cfRule type="cellIs" dxfId="63" priority="35" operator="greaterThan">
      <formula>0.03</formula>
    </cfRule>
    <cfRule type="cellIs" dxfId="62" priority="36" stopIfTrue="1" operator="lessThan">
      <formula>-0.03</formula>
    </cfRule>
  </conditionalFormatting>
  <conditionalFormatting sqref="Q19:S22">
    <cfRule type="cellIs" dxfId="59" priority="33" operator="greaterThan">
      <formula>0.03</formula>
    </cfRule>
    <cfRule type="cellIs" dxfId="58" priority="34" stopIfTrue="1" operator="lessThan">
      <formula>-0.03</formula>
    </cfRule>
  </conditionalFormatting>
  <conditionalFormatting sqref="N23:P26">
    <cfRule type="cellIs" dxfId="55" priority="31" operator="greaterThan">
      <formula>0.03</formula>
    </cfRule>
    <cfRule type="cellIs" dxfId="54" priority="32" stopIfTrue="1" operator="lessThan">
      <formula>-0.03</formula>
    </cfRule>
  </conditionalFormatting>
  <conditionalFormatting sqref="Q23:S26">
    <cfRule type="cellIs" dxfId="51" priority="29" operator="greaterThan">
      <formula>0.03</formula>
    </cfRule>
    <cfRule type="cellIs" dxfId="50" priority="30" stopIfTrue="1" operator="lessThan">
      <formula>-0.03</formula>
    </cfRule>
  </conditionalFormatting>
  <conditionalFormatting sqref="N27:P30">
    <cfRule type="cellIs" dxfId="47" priority="27" operator="greaterThan">
      <formula>0.03</formula>
    </cfRule>
    <cfRule type="cellIs" dxfId="46" priority="28" stopIfTrue="1" operator="lessThan">
      <formula>-0.03</formula>
    </cfRule>
  </conditionalFormatting>
  <conditionalFormatting sqref="Q27:S30">
    <cfRule type="cellIs" dxfId="43" priority="25" operator="greaterThan">
      <formula>0.03</formula>
    </cfRule>
    <cfRule type="cellIs" dxfId="42" priority="26" stopIfTrue="1" operator="lessThan">
      <formula>-0.03</formula>
    </cfRule>
  </conditionalFormatting>
  <conditionalFormatting sqref="Q47:S49 Q51:S53 Q50">
    <cfRule type="cellIs" dxfId="39" priority="17" operator="greaterThan">
      <formula>0.03</formula>
    </cfRule>
    <cfRule type="cellIs" dxfId="38" priority="18" stopIfTrue="1" operator="lessThan">
      <formula>-0.03</formula>
    </cfRule>
  </conditionalFormatting>
  <conditionalFormatting sqref="N47:P53">
    <cfRule type="cellIs" dxfId="35" priority="19" operator="greaterThan">
      <formula>0.03</formula>
    </cfRule>
    <cfRule type="cellIs" dxfId="34" priority="20" stopIfTrue="1" operator="lessThan">
      <formula>-0.03</formula>
    </cfRule>
  </conditionalFormatting>
  <conditionalFormatting sqref="Q57:S59 Q61:S63 Q60">
    <cfRule type="cellIs" dxfId="31" priority="13" operator="greaterThan">
      <formula>0.03</formula>
    </cfRule>
    <cfRule type="cellIs" dxfId="30" priority="14" stopIfTrue="1" operator="lessThan">
      <formula>-0.03</formula>
    </cfRule>
  </conditionalFormatting>
  <conditionalFormatting sqref="N57:P63">
    <cfRule type="cellIs" dxfId="27" priority="15" operator="greaterThan">
      <formula>0.03</formula>
    </cfRule>
    <cfRule type="cellIs" dxfId="26" priority="16" stopIfTrue="1" operator="lessThan">
      <formula>-0.03</formula>
    </cfRule>
  </conditionalFormatting>
  <conditionalFormatting sqref="Q67:S69 Q71:S73 Q70">
    <cfRule type="cellIs" dxfId="23" priority="9" operator="greaterThan">
      <formula>0.03</formula>
    </cfRule>
    <cfRule type="cellIs" dxfId="22" priority="10" stopIfTrue="1" operator="lessThan">
      <formula>-0.03</formula>
    </cfRule>
  </conditionalFormatting>
  <conditionalFormatting sqref="N67:P73">
    <cfRule type="cellIs" dxfId="19" priority="11" operator="greaterThan">
      <formula>0.03</formula>
    </cfRule>
    <cfRule type="cellIs" dxfId="18" priority="12" stopIfTrue="1" operator="lessThan">
      <formula>-0.03</formula>
    </cfRule>
  </conditionalFormatting>
  <conditionalFormatting sqref="Q76:S78 Q80:S82 Q79">
    <cfRule type="cellIs" dxfId="15" priority="5" operator="greaterThan">
      <formula>0.03</formula>
    </cfRule>
    <cfRule type="cellIs" dxfId="14" priority="6" stopIfTrue="1" operator="lessThan">
      <formula>-0.03</formula>
    </cfRule>
  </conditionalFormatting>
  <conditionalFormatting sqref="N76:P82">
    <cfRule type="cellIs" dxfId="11" priority="7" operator="greaterThan">
      <formula>0.03</formula>
    </cfRule>
    <cfRule type="cellIs" dxfId="10" priority="8" stopIfTrue="1" operator="lessThan">
      <formula>-0.03</formula>
    </cfRule>
  </conditionalFormatting>
  <conditionalFormatting sqref="Q85:S87 Q89:S91 Q88">
    <cfRule type="cellIs" dxfId="7" priority="1" operator="greaterThan">
      <formula>0.03</formula>
    </cfRule>
    <cfRule type="cellIs" dxfId="6" priority="2" stopIfTrue="1" operator="lessThan">
      <formula>-0.03</formula>
    </cfRule>
  </conditionalFormatting>
  <conditionalFormatting sqref="N85:P91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Alexis Michael Tourapis</cp:lastModifiedBy>
  <dcterms:created xsi:type="dcterms:W3CDTF">2011-06-30T00:09:01Z</dcterms:created>
  <dcterms:modified xsi:type="dcterms:W3CDTF">2017-10-12T20:01:34Z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